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_kim.Mark\Desktop\"/>
    </mc:Choice>
  </mc:AlternateContent>
  <xr:revisionPtr revIDLastSave="0" documentId="13_ncr:1_{668B1B6C-D45F-4E07-921B-A4397D1EF39F}" xr6:coauthVersionLast="47" xr6:coauthVersionMax="47" xr10:uidLastSave="{00000000-0000-0000-0000-000000000000}"/>
  <bookViews>
    <workbookView xWindow="-120" yWindow="-120" windowWidth="29040" windowHeight="15720" firstSheet="3" activeTab="10" xr2:uid="{B7E335D2-ABE1-4B9C-95B3-9257B752094F}"/>
  </bookViews>
  <sheets>
    <sheet name="Dashboard" sheetId="19" r:id="rId1"/>
    <sheet name="Raw_data" sheetId="1" r:id="rId2"/>
    <sheet name="Top_Rating" sheetId="11" r:id="rId3"/>
    <sheet name="Top_Reviews" sheetId="12" r:id="rId4"/>
    <sheet name="Top_Discount" sheetId="13" r:id="rId5"/>
    <sheet name="Discount_vs_Reviews" sheetId="14" r:id="rId6"/>
    <sheet name="Rating_vs_Reviews" sheetId="15" r:id="rId7"/>
    <sheet name="Price_vs_Rating" sheetId="16" r:id="rId8"/>
    <sheet name="Rating_category" sheetId="17" r:id="rId9"/>
    <sheet name="Discount_Category" sheetId="18" r:id="rId10"/>
    <sheet name="Cleaned_data" sheetId="5" r:id="rId11"/>
    <sheet name="Analysis" sheetId="9" r:id="rId12"/>
  </sheets>
  <definedNames>
    <definedName name="Slicer_Discount_caategory">#N/A</definedName>
    <definedName name="Slicer_price_category">#N/A</definedName>
    <definedName name="Slicer_Rating_category">#N/A</definedName>
  </definedNames>
  <calcPr calcId="191029"/>
  <pivotCaches>
    <pivotCache cacheId="35"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5" l="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B12" i="9"/>
  <c r="B18" i="9"/>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2" i="5"/>
  <c r="A80" i="9" a="1"/>
  <c r="A80" i="9" s="1"/>
  <c r="A76" i="9"/>
  <c r="A64" i="9" a="1"/>
  <c r="A64" i="9" s="1"/>
  <c r="A52" i="9" a="1"/>
  <c r="A52" i="9" s="1"/>
  <c r="A40" i="9" a="1"/>
  <c r="A40" i="9" s="1"/>
  <c r="A33" i="9" a="1"/>
  <c r="A33" i="9" s="1"/>
  <c r="A26" i="9" a="1"/>
  <c r="A26" i="9" s="1"/>
  <c r="B22" i="9"/>
  <c r="B21" i="9"/>
  <c r="B20" i="9"/>
  <c r="B17" i="9"/>
  <c r="B16" i="9"/>
  <c r="B15" i="9"/>
  <c r="B14" i="9"/>
  <c r="B13" i="9"/>
  <c r="B11" i="9"/>
  <c r="B10" i="9"/>
  <c r="B9" i="9"/>
  <c r="B8" i="9"/>
  <c r="B7" i="9"/>
  <c r="B3" i="9"/>
  <c r="B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<sst xmlns="http://schemas.openxmlformats.org/spreadsheetml/2006/main" count="686" uniqueCount="377">
  <si>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</si>
  <si>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</si>
  <si>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</si>
  <si>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</si>
  <si>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</si>
  <si>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</si>
  <si>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</si>
  <si>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</si>
  <si>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</si>
  <si>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</si>
  <si>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</si>
  <si>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</si>
  <si>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</si>
  <si>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</si>
  <si>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</si>
  <si>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</si>
  <si>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</si>
  <si>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</si>
  <si>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</si>
  <si>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</si>
  <si>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</si>
  <si>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</si>
  <si>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</si>
  <si>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</si>
  <si>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</si>
  <si>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</si>
  <si>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</si>
  <si>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</si>
  <si>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</si>
  <si>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</si>
  <si>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</si>
  <si>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</si>
  <si>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</si>
  <si>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</si>
  <si>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</si>
  <si>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</si>
  <si>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</si>
  <si>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</si>
  <si>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</si>
  <si>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</si>
  <si>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</si>
  <si>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</si>
  <si>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</si>
  <si>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</si>
  <si>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</si>
  <si>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</si>
  <si>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</si>
  <si>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</si>
  <si>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</si>
  <si>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</si>
  <si>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</si>
  <si>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</si>
  <si>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</si>
  <si>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</si>
  <si>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</si>
  <si>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</si>
  <si>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</si>
  <si>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</si>
  <si>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</si>
  <si>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</si>
  <si>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</si>
  <si>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</si>
  <si>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</si>
  <si>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</si>
  <si>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</si>
  <si>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</si>
  <si>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</si>
  <si>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</si>
  <si>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</si>
  <si>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</si>
  <si>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</si>
  <si>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</si>
  <si>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</si>
  <si>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</si>
  <si>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</si>
  <si>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</si>
  <si>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</si>
  <si>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</si>
  <si>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</si>
  <si>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</si>
  <si>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</si>
  <si>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</si>
  <si>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</si>
  <si>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</si>
  <si>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</si>
  <si>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</si>
  <si>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</si>
  <si>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</si>
  <si>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</si>
  <si>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</si>
  <si>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</si>
  <si>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</si>
  <si>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</si>
  <si>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</si>
  <si>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</si>
  <si>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</si>
  <si>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</si>
  <si>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</si>
  <si>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</si>
  <si>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</si>
  <si>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</si>
  <si>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</si>
  <si>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</si>
  <si>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</si>
  <si>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</si>
  <si>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</si>
  <si>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</si>
  <si>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</si>
  <si>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</si>
  <si>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</si>
  <si>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</si>
  <si>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</si>
  <si>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</si>
  <si>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</si>
  <si>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</si>
  <si>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</si>
  <si>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</si>
  <si>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</si>
  <si>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</si>
  <si>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</si>
  <si>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</si>
  <si>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</si>
  <si>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</si>
  <si>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</si>
  <si>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</si>
  <si>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</si>
  <si>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</si>
  <si>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</si>
  <si>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</si>
  <si>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</si>
  <si>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</si>
  <si>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</si>
  <si>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</si>
  <si>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</si>
  <si>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</si>
  <si>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</si>
  <si>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</si>
  <si>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</si>
  <si>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</si>
  <si>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</si>
  <si>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</si>
  <si>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</si>
  <si>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</si>
  <si>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</si>
  <si>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</si>
  <si>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</si>
  <si>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</si>
  <si>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</si>
  <si>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</si>
  <si>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</si>
  <si>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</si>
  <si>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</si>
  <si>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</si>
  <si>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</si>
  <si>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</si>
  <si>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</si>
  <si>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</si>
  <si>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</si>
  <si>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</si>
  <si>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</si>
  <si>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</si>
  <si>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</si>
  <si>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</si>
  <si>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</si>
  <si>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</si>
  <si>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</si>
  <si>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</si>
  <si>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</si>
  <si>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</si>
  <si>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</si>
  <si>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</si>
  <si>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</si>
  <si>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</si>
  <si>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</si>
  <si>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</si>
  <si>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</si>
  <si>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</si>
  <si>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</si>
  <si>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</si>
  <si>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</si>
  <si>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</si>
  <si>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</si>
  <si>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</si>
  <si>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</si>
  <si>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</si>
  <si>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</si>
  <si>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</si>
  <si>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</si>
  <si>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</si>
  <si>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</si>
  <si>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</si>
  <si>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</si>
  <si>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</si>
  <si>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</si>
  <si>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</si>
  <si>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</si>
  <si>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</si>
  <si>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</si>
  <si>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</si>
  <si>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</si>
  <si>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</si>
  <si>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</si>
  <si>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</si>
  <si>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</si>
  <si>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</si>
  <si>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</si>
  <si>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</si>
  <si>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</si>
  <si>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</si>
  <si>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</si>
  <si>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</si>
  <si>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</si>
  <si>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</si>
  <si>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</si>
  <si>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</si>
  <si>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</si>
  <si>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</si>
  <si>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</si>
  <si>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</si>
  <si>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</si>
  <si>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</si>
  <si>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</si>
  <si>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</si>
  <si>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</si>
  <si>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</si>
  <si>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</si>
  <si>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</si>
  <si>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</si>
  <si>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</si>
  <si>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</si>
  <si>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</si>
  <si>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</si>
  <si>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</si>
  <si>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</si>
  <si>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</si>
  <si>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</si>
  <si>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</si>
  <si>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</si>
  <si>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</si>
  <si>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</si>
  <si>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</si>
  <si>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</si>
  <si>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</si>
  <si>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</si>
  <si>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</si>
  <si>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</si>
  <si>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</si>
  <si>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</si>
  <si>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</si>
  <si>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</si>
  <si>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</si>
  <si>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</si>
  <si>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</si>
  <si>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</si>
  <si>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</si>
  <si>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</si>
  <si>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</si>
  <si>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</si>
  <si>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</si>
  <si>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</si>
  <si>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</si>
  <si>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</si>
  <si>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</si>
  <si>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</si>
  <si>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</si>
  <si>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</si>
  <si>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</si>
  <si>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</si>
  <si>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</si>
  <si>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</si>
  <si>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</si>
  <si>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</si>
  <si>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</si>
  <si>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</si>
  <si>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</si>
  <si>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</si>
  <si>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</si>
  <si>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</si>
  <si>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</si>
  <si>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</si>
  <si>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</si>
  <si>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</si>
  <si>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</si>
  <si>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</si>
  <si>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</si>
  <si>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</si>
  <si>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</si>
  <si>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</si>
  <si>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</si>
  <si>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</si>
  <si>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</si>
  <si>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</si>
  <si>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</si>
  <si>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</si>
  <si>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</si>
  <si>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</si>
  <si>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</si>
  <si>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</si>
  <si>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</si>
  <si>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</si>
  <si>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</si>
  <si>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</si>
  <si>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</si>
  <si>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</si>
  <si>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</si>
  <si>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</si>
  <si>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</si>
  <si>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</si>
  <si>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</si>
  <si>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</si>
  <si>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</si>
  <si>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</si>
  <si>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</si>
  <si>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</si>
  <si>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</si>
  <si>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</si>
  <si>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</si>
  <si>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</si>
  <si>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</si>
  <si>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</si>
  <si>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</si>
  <si>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</si>
  <si>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</si>
  <si>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
  </si>
  <si>
    <t>Rating</t>
  </si>
  <si>
    <t>Discount_price</t>
  </si>
  <si>
    <t>Old prices</t>
  </si>
  <si>
    <t>Rating_category</t>
  </si>
  <si>
    <t>Review_Category</t>
  </si>
  <si>
    <t>Discount_caategory</t>
  </si>
  <si>
    <t>THRESHOLDS (used by Cleaned_Data categories)</t>
  </si>
  <si>
    <t>KEY PERFORMANCE INDICATORS</t>
  </si>
  <si>
    <t>Total products</t>
  </si>
  <si>
    <t>Average current price (KSh)</t>
  </si>
  <si>
    <t>Average old price (KSh)</t>
  </si>
  <si>
    <t>Average discount</t>
  </si>
  <si>
    <t>Average rating</t>
  </si>
  <si>
    <t>CORRELATION ANALYSIS</t>
  </si>
  <si>
    <t>Discount vs Review</t>
  </si>
  <si>
    <t>Rating vs Review</t>
  </si>
  <si>
    <t>Current Price vs Rating</t>
  </si>
  <si>
    <t>RANKED PRODUCT TABLES</t>
  </si>
  <si>
    <t>Top 5 products by Rating</t>
  </si>
  <si>
    <t>Top 10 by Discount</t>
  </si>
  <si>
    <t>Top 10 by Reviews</t>
  </si>
  <si>
    <t>High Discount (&gt;40%) but Low Rating (&lt;3)</t>
  </si>
  <si>
    <t>High Discount (&gt;40%) but Low Engagement (below 75th percentile)</t>
  </si>
  <si>
    <t>Price_Q1(25th percentile)</t>
  </si>
  <si>
    <t>Price_Q3(75th percentile)</t>
  </si>
  <si>
    <t>Average discount_price</t>
  </si>
  <si>
    <t>Total Reviews</t>
  </si>
  <si>
    <t>Most Expensive price (ksh)</t>
  </si>
  <si>
    <t>Most Expensive product</t>
  </si>
  <si>
    <t>Least Expensive price(ksh)</t>
  </si>
  <si>
    <t>least Expensive product</t>
  </si>
  <si>
    <t>Top 5 products with lowest Rating</t>
  </si>
  <si>
    <t>Products with strong customer engagement</t>
  </si>
  <si>
    <t>price_category</t>
  </si>
  <si>
    <t>Row Labels</t>
  </si>
  <si>
    <t>Grand Total</t>
  </si>
  <si>
    <t>Average of Rating</t>
  </si>
  <si>
    <t>Sum of Review</t>
  </si>
  <si>
    <t>Average of Discount</t>
  </si>
  <si>
    <t>Average of Review</t>
  </si>
  <si>
    <t>Average</t>
  </si>
  <si>
    <t>Excellent</t>
  </si>
  <si>
    <t>Not Rated</t>
  </si>
  <si>
    <t>Poor</t>
  </si>
  <si>
    <t>High</t>
  </si>
  <si>
    <t>Low</t>
  </si>
  <si>
    <t>Medium</t>
  </si>
  <si>
    <t>Premium</t>
  </si>
  <si>
    <t>Count of Product</t>
  </si>
  <si>
    <t xml:space="preserve">Average discount percentage. </t>
  </si>
  <si>
    <t>Medium Discount</t>
  </si>
  <si>
    <t>High Discount</t>
  </si>
  <si>
    <t>Low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</si>
</sst>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
      <color rgb="FF2F5496"/>
      <name val="Arial"/>
      <family val="2"/>
    </font>
    <font>
      <b/>
      <sz val="14"/>
      <color theme="1"/>
      <name val="Aptos Narrow"/>
      <family val="2"/>
      <scheme val="minor"/>
    </font>
    <font>
      <b/>
      <sz val="12"/>
      <color theme="1"/>
      <name val="Aptos Narrow"/>
      <family val="2"/>
      <scheme val="minor"/>
    </font>
    <font>
      <b/>
      <sz val="16"/>
      <color rgb="FF0070C0"/>
      <name val="Aptos Narrow"/>
      <family val="2"/>
      <scheme val="minor"/>
    </font>
    <font>
      <b/>
      <sz val="14"/>
      <color rgb="FF0070C0"/>
      <name val="Times New Roman"/>
      <family val="1"/>
    </font>
    <font>
      <b/>
      <sz val="12"/>
      <name val="Aptos Narrow"/>
      <family val="2"/>
      <scheme val="minor"/>
    </font>
    <font>
      <b/>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9" fontId="0" fillId="0" borderId="0" xfId="0" applyNumberFormat="1"/>
    <xf numFmtId="0" fontId="18" fillId="0" borderId="0" xfId="0" applyFont="1"/>
    <xf numFmtId="0" fontId="16"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0" fillId="0" borderId="10" xfId="0" applyFont="1" applyBorder="1"/>
    <xf numFmtId="0" fontId="13" fillId="33" borderId="11" xfId="0" applyFont="1" applyFill="1" applyBorder="1"/>
    <xf numFmtId="0" fontId="13" fillId="33" borderId="12" xfId="0" applyFont="1" applyFill="1" applyBorder="1"/>
    <xf numFmtId="0" fontId="0" fillId="34" borderId="11" xfId="0" applyFont="1" applyFill="1" applyBorder="1"/>
    <xf numFmtId="0" fontId="0" fillId="34" borderId="12" xfId="0" applyFont="1" applyFill="1" applyBorder="1"/>
    <xf numFmtId="0" fontId="0" fillId="0" borderId="11" xfId="0" applyFont="1" applyBorder="1"/>
    <xf numFmtId="0" fontId="13" fillId="33" borderId="0" xfId="0" applyFont="1" applyFill="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35" borderId="0" xfId="0" applyFill="1"/>
    <xf numFmtId="0" fontId="2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4" tint="0.39997558519241921"/>
        </top>
        <bottom/>
        <vertical/>
        <horizontal/>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Product Performance Dashboard.xlsx]Top_Rating!PivotTable1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a:t>
            </a:r>
            <a:r>
              <a:rPr lang="en-US" sz="1400" b="1" baseline="0"/>
              <a:t> 10 rating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Top_Rating!$B$3</c:f>
              <c:strCache>
                <c:ptCount val="1"/>
                <c:pt idx="0">
                  <c:v>Total</c:v>
                </c:pt>
              </c:strCache>
            </c:strRef>
          </c:tx>
          <c:spPr>
            <a:solidFill>
              <a:schemeClr val="accent4"/>
            </a:solidFill>
            <a:ln>
              <a:noFill/>
            </a:ln>
            <a:effectLst/>
          </c:spPr>
          <c:invertIfNegative val="0"/>
          <c:cat>
            <c:strRef>
              <c:f>Top_Rating!$A$4:$A$14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Top_Rating!$B$4:$B$14</c:f>
              <c:numCache>
                <c:formatCode>0.0</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BBEE-4D9C-9EFA-3ABF1AE0FCA1}"/>
            </c:ext>
          </c:extLst>
        </c:ser>
        <c:dLbls>
          <c:showLegendKey val="0"/>
          <c:showVal val="0"/>
          <c:showCatName val="0"/>
          <c:showSerName val="0"/>
          <c:showPercent val="0"/>
          <c:showBubbleSize val="0"/>
        </c:dLbls>
        <c:gapWidth val="182"/>
        <c:axId val="14184880"/>
        <c:axId val="14188240"/>
      </c:barChart>
      <c:catAx>
        <c:axId val="1418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188240"/>
        <c:crosses val="autoZero"/>
        <c:auto val="1"/>
        <c:lblAlgn val="ctr"/>
        <c:lblOffset val="100"/>
        <c:noMultiLvlLbl val="0"/>
      </c:catAx>
      <c:valAx>
        <c:axId val="1418824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18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Product Performance Dashboard.xlsx]Top_Reviews!PivotTable2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Review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Top_Reviews!$B$3</c:f>
              <c:strCache>
                <c:ptCount val="1"/>
                <c:pt idx="0">
                  <c:v>Total</c:v>
                </c:pt>
              </c:strCache>
            </c:strRef>
          </c:tx>
          <c:spPr>
            <a:solidFill>
              <a:schemeClr val="accent4"/>
            </a:solidFill>
            <a:ln>
              <a:noFill/>
            </a:ln>
            <a:effectLst/>
          </c:spPr>
          <c:invertIfNegative val="0"/>
          <c:cat>
            <c:strRef>
              <c:f>Top_Reviews!$A$4:$A$14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Top_Reviews!$B$4:$B$14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38D6-4084-900B-9BF7F88DF0A4}"/>
            </c:ext>
          </c:extLst>
        </c:ser>
        <c:dLbls>
          <c:showLegendKey val="0"/>
          <c:showVal val="0"/>
          <c:showCatName val="0"/>
          <c:showSerName val="0"/>
          <c:showPercent val="0"/>
          <c:showBubbleSize val="0"/>
        </c:dLbls>
        <c:gapWidth val="182"/>
        <c:axId val="281822032"/>
        <c:axId val="281822512"/>
      </c:barChart>
      <c:catAx>
        <c:axId val="28182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22512"/>
        <c:crosses val="autoZero"/>
        <c:auto val="1"/>
        <c:lblAlgn val="ctr"/>
        <c:lblOffset val="100"/>
        <c:noMultiLvlLbl val="0"/>
      </c:catAx>
      <c:valAx>
        <c:axId val="28182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Product Performance Dashboard.xlsx]Top_Discount!PivotTable3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Discounts</a:t>
            </a:r>
          </a:p>
        </c:rich>
      </c:tx>
      <c:layout>
        <c:manualLayout>
          <c:xMode val="edge"/>
          <c:yMode val="edge"/>
          <c:x val="0.4329790026246719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Top_Discount!$B$3</c:f>
              <c:strCache>
                <c:ptCount val="1"/>
                <c:pt idx="0">
                  <c:v>Total</c:v>
                </c:pt>
              </c:strCache>
            </c:strRef>
          </c:tx>
          <c:spPr>
            <a:solidFill>
              <a:schemeClr val="accent4"/>
            </a:solidFill>
            <a:ln>
              <a:noFill/>
            </a:ln>
            <a:effectLst/>
          </c:spPr>
          <c:invertIfNegative val="0"/>
          <c:cat>
            <c:strRef>
              <c:f>Top_Discount!$A$4:$A$14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Top_Discount!$B$4:$B$14</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171A-4FD3-B10D-0DCD394DB5E2}"/>
            </c:ext>
          </c:extLst>
        </c:ser>
        <c:dLbls>
          <c:showLegendKey val="0"/>
          <c:showVal val="0"/>
          <c:showCatName val="0"/>
          <c:showSerName val="0"/>
          <c:showPercent val="0"/>
          <c:showBubbleSize val="0"/>
        </c:dLbls>
        <c:gapWidth val="182"/>
        <c:axId val="281809552"/>
        <c:axId val="281816272"/>
      </c:barChart>
      <c:catAx>
        <c:axId val="28180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16272"/>
        <c:crosses val="autoZero"/>
        <c:auto val="1"/>
        <c:lblAlgn val="ctr"/>
        <c:lblOffset val="100"/>
        <c:noMultiLvlLbl val="0"/>
      </c:catAx>
      <c:valAx>
        <c:axId val="2818162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0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Product Performance Dashboard.xlsx]Discount_vs_Reviews!PivotTable4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_vs_Reviews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Discount_vs_Reviews!$B$3</c:f>
              <c:strCache>
                <c:ptCount val="1"/>
                <c:pt idx="0">
                  <c:v>Total</c:v>
                </c:pt>
              </c:strCache>
            </c:strRef>
          </c:tx>
          <c:spPr>
            <a:solidFill>
              <a:schemeClr val="accent4"/>
            </a:solidFill>
            <a:ln>
              <a:noFill/>
            </a:ln>
            <a:effectLst/>
          </c:spPr>
          <c:invertIfNegative val="0"/>
          <c:cat>
            <c:strRef>
              <c:f>Discount_vs_Reviews!$A$4:$A$7</c:f>
              <c:strCache>
                <c:ptCount val="3"/>
                <c:pt idx="0">
                  <c:v>Medium Discount</c:v>
                </c:pt>
                <c:pt idx="1">
                  <c:v>High Discount</c:v>
                </c:pt>
                <c:pt idx="2">
                  <c:v>Low Discount</c:v>
                </c:pt>
              </c:strCache>
            </c:strRef>
          </c:cat>
          <c:val>
            <c:numRef>
              <c:f>Discount_vs_Reviews!$B$4:$B$7</c:f>
              <c:numCache>
                <c:formatCode>0.0</c:formatCode>
                <c:ptCount val="3"/>
                <c:pt idx="0">
                  <c:v>15.909090909090908</c:v>
                </c:pt>
                <c:pt idx="1">
                  <c:v>10.806451612903226</c:v>
                </c:pt>
                <c:pt idx="2">
                  <c:v>9.5</c:v>
                </c:pt>
              </c:numCache>
            </c:numRef>
          </c:val>
          <c:extLst>
            <c:ext xmlns:c16="http://schemas.microsoft.com/office/drawing/2014/chart" uri="{C3380CC4-5D6E-409C-BE32-E72D297353CC}">
              <c16:uniqueId val="{00000000-4C76-4DC8-BA03-6FF0E3ACD538}"/>
            </c:ext>
          </c:extLst>
        </c:ser>
        <c:dLbls>
          <c:showLegendKey val="0"/>
          <c:showVal val="0"/>
          <c:showCatName val="0"/>
          <c:showSerName val="0"/>
          <c:showPercent val="0"/>
          <c:showBubbleSize val="0"/>
        </c:dLbls>
        <c:gapWidth val="219"/>
        <c:overlap val="-27"/>
        <c:axId val="281814352"/>
        <c:axId val="281810032"/>
      </c:barChart>
      <c:catAx>
        <c:axId val="2818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10032"/>
        <c:crosses val="autoZero"/>
        <c:auto val="1"/>
        <c:lblAlgn val="ctr"/>
        <c:lblOffset val="100"/>
        <c:noMultiLvlLbl val="0"/>
      </c:catAx>
      <c:valAx>
        <c:axId val="2818100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Product Performance Dashboard.xlsx]Rating_category!PivotTable7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pivotFmt>
    </c:pivotFmts>
    <c:plotArea>
      <c:layout/>
      <c:pieChart>
        <c:varyColors val="1"/>
        <c:ser>
          <c:idx val="0"/>
          <c:order val="0"/>
          <c:tx>
            <c:strRef>
              <c:f>Rating_category!$B$3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1792-492B-A2EF-429CD7A468D7}"/>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1792-492B-A2EF-429CD7A468D7}"/>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1792-492B-A2EF-429CD7A468D7}"/>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1792-492B-A2EF-429CD7A468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Rating_category!$A$4:$A$8</c:f>
              <c:strCache>
                <c:ptCount val="4"/>
                <c:pt idx="0">
                  <c:v>Average</c:v>
                </c:pt>
                <c:pt idx="1">
                  <c:v>Excellent</c:v>
                </c:pt>
                <c:pt idx="2">
                  <c:v>Not Rated</c:v>
                </c:pt>
                <c:pt idx="3">
                  <c:v>Poor</c:v>
                </c:pt>
              </c:strCache>
            </c:strRef>
          </c:cat>
          <c:val>
            <c:numRef>
              <c:f>Rating_category!$B$4:$B$8</c:f>
              <c:numCache>
                <c:formatCode>General</c:formatCode>
                <c:ptCount val="4"/>
                <c:pt idx="0">
                  <c:v>9</c:v>
                </c:pt>
                <c:pt idx="1">
                  <c:v>36</c:v>
                </c:pt>
                <c:pt idx="2">
                  <c:v>55</c:v>
                </c:pt>
                <c:pt idx="3">
                  <c:v>12</c:v>
                </c:pt>
              </c:numCache>
            </c:numRef>
          </c:val>
          <c:extLst>
            <c:ext xmlns:c16="http://schemas.microsoft.com/office/drawing/2014/chart" uri="{C3380CC4-5D6E-409C-BE32-E72D297353CC}">
              <c16:uniqueId val="{00000008-1792-492B-A2EF-429CD7A468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Product Performance Dashboard.xlsx]Discount_Category!PivotTable8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Discount_category</a:t>
            </a:r>
          </a:p>
        </c:rich>
      </c:tx>
      <c:layout>
        <c:manualLayout>
          <c:xMode val="edge"/>
          <c:yMode val="edge"/>
          <c:x val="0.3473263342082239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s>
    <c:plotArea>
      <c:layout/>
      <c:pieChart>
        <c:varyColors val="1"/>
        <c:ser>
          <c:idx val="0"/>
          <c:order val="0"/>
          <c:tx>
            <c:strRef>
              <c:f>Discount_Category!$B$3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ACB8-4708-82C7-3A223BD94BC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CB8-4708-82C7-3A223BD94BC9}"/>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ACB8-4708-82C7-3A223BD94B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Discount_Category!$A$4:$A$7</c:f>
              <c:strCache>
                <c:ptCount val="3"/>
                <c:pt idx="0">
                  <c:v>Medium Discount</c:v>
                </c:pt>
                <c:pt idx="1">
                  <c:v>High Discount</c:v>
                </c:pt>
                <c:pt idx="2">
                  <c:v>Low Discount</c:v>
                </c:pt>
              </c:strCache>
            </c:strRef>
          </c:cat>
          <c:val>
            <c:numRef>
              <c:f>Discount_Category!$B$4:$B$7</c:f>
              <c:numCache>
                <c:formatCode>General</c:formatCode>
                <c:ptCount val="3"/>
                <c:pt idx="0">
                  <c:v>31</c:v>
                </c:pt>
                <c:pt idx="1">
                  <c:v>63</c:v>
                </c:pt>
                <c:pt idx="2">
                  <c:v>18</c:v>
                </c:pt>
              </c:numCache>
            </c:numRef>
          </c:val>
          <c:extLst>
            <c:ext xmlns:c16="http://schemas.microsoft.com/office/drawing/2014/chart" uri="{C3380CC4-5D6E-409C-BE32-E72D297353CC}">
              <c16:uniqueId val="{00000006-ACB8-4708-82C7-3A223BD94B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Product Performance Dashboard.xlsx]Rating_vs_Reviews!PivotTable5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Rating_vs</a:t>
            </a:r>
            <a:r>
              <a:rPr lang="en-US" b="1" baseline="0"/>
              <a:t> Review</a:t>
            </a:r>
          </a:p>
        </c:rich>
      </c:tx>
      <c:layout>
        <c:manualLayout>
          <c:xMode val="edge"/>
          <c:yMode val="edge"/>
          <c:x val="0.35964566929133862"/>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Rating_vs_Reviews!$B$3</c:f>
              <c:strCache>
                <c:ptCount val="1"/>
                <c:pt idx="0">
                  <c:v>Total</c:v>
                </c:pt>
              </c:strCache>
            </c:strRef>
          </c:tx>
          <c:spPr>
            <a:solidFill>
              <a:schemeClr val="accent4"/>
            </a:solidFill>
            <a:ln>
              <a:noFill/>
            </a:ln>
            <a:effectLst/>
          </c:spPr>
          <c:invertIfNegative val="0"/>
          <c:cat>
            <c:strRef>
              <c:f>Rating_vs_Reviews!$A$4:$A$8</c:f>
              <c:strCache>
                <c:ptCount val="4"/>
                <c:pt idx="0">
                  <c:v>Average</c:v>
                </c:pt>
                <c:pt idx="1">
                  <c:v>Excellent</c:v>
                </c:pt>
                <c:pt idx="2">
                  <c:v>Not Rated</c:v>
                </c:pt>
                <c:pt idx="3">
                  <c:v>Poor</c:v>
                </c:pt>
              </c:strCache>
            </c:strRef>
          </c:cat>
          <c:val>
            <c:numRef>
              <c:f>Rating_vs_Reviews!$B$4:$B$8</c:f>
              <c:numCache>
                <c:formatCode>0.0</c:formatCode>
                <c:ptCount val="4"/>
                <c:pt idx="0">
                  <c:v>7.666666666666667</c:v>
                </c:pt>
                <c:pt idx="1">
                  <c:v>13.472222222222221</c:v>
                </c:pt>
                <c:pt idx="3">
                  <c:v>14.083333333333334</c:v>
                </c:pt>
              </c:numCache>
            </c:numRef>
          </c:val>
          <c:extLst>
            <c:ext xmlns:c16="http://schemas.microsoft.com/office/drawing/2014/chart" uri="{C3380CC4-5D6E-409C-BE32-E72D297353CC}">
              <c16:uniqueId val="{00000000-C007-4775-8368-01C1D98AB6EC}"/>
            </c:ext>
          </c:extLst>
        </c:ser>
        <c:dLbls>
          <c:showLegendKey val="0"/>
          <c:showVal val="0"/>
          <c:showCatName val="0"/>
          <c:showSerName val="0"/>
          <c:showPercent val="0"/>
          <c:showBubbleSize val="0"/>
        </c:dLbls>
        <c:gapWidth val="219"/>
        <c:overlap val="-27"/>
        <c:axId val="281810512"/>
        <c:axId val="281808592"/>
      </c:barChart>
      <c:catAx>
        <c:axId val="28181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08592"/>
        <c:crosses val="autoZero"/>
        <c:auto val="1"/>
        <c:lblAlgn val="ctr"/>
        <c:lblOffset val="100"/>
        <c:noMultiLvlLbl val="0"/>
      </c:catAx>
      <c:valAx>
        <c:axId val="2818085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1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[Jumia Product Performance Dashboard.xlsx]Price_vs_Rating!PivotTable6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Price_vs_Rating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Price_vs_Rating!$B$3</c:f>
              <c:strCache>
                <c:ptCount val="1"/>
                <c:pt idx="0">
                  <c:v>Total</c:v>
                </c:pt>
              </c:strCache>
            </c:strRef>
          </c:tx>
          <c:spPr>
            <a:solidFill>
              <a:schemeClr val="accent4"/>
            </a:solidFill>
            <a:ln>
              <a:noFill/>
            </a:ln>
            <a:effectLst/>
          </c:spPr>
          <c:invertIfNegative val="0"/>
          <c:cat>
            <c:strRef>
              <c:f>Price_vs_Rating!$A$4:$A$8</c:f>
              <c:strCache>
                <c:ptCount val="4"/>
                <c:pt idx="0">
                  <c:v>High</c:v>
                </c:pt>
                <c:pt idx="1">
                  <c:v>Low</c:v>
                </c:pt>
                <c:pt idx="2">
                  <c:v>Medium</c:v>
                </c:pt>
                <c:pt idx="3">
                  <c:v>Premium</c:v>
                </c:pt>
              </c:strCache>
            </c:strRef>
          </c:cat>
          <c:val>
            <c:numRef>
              <c:f>Price_vs_Rating!$B$4:$B$8</c:f>
              <c:numCache>
                <c:formatCode>0.0</c:formatCode>
                <c:ptCount val="4"/>
                <c:pt idx="0">
                  <c:v>4.1130434782608685</c:v>
                </c:pt>
                <c:pt idx="1">
                  <c:v>3.5307692307692307</c:v>
                </c:pt>
                <c:pt idx="2">
                  <c:v>3.8526315789473684</c:v>
                </c:pt>
                <c:pt idx="3">
                  <c:v>4</c:v>
                </c:pt>
              </c:numCache>
            </c:numRef>
          </c:val>
          <c:extLst>
            <c:ext xmlns:c16="http://schemas.microsoft.com/office/drawing/2014/chart" uri="{C3380CC4-5D6E-409C-BE32-E72D297353CC}">
              <c16:uniqueId val="{00000000-5A9F-4E11-AF5C-A13BE60A0C7C}"/>
            </c:ext>
          </c:extLst>
        </c:ser>
        <c:dLbls>
          <c:showLegendKey val="0"/>
          <c:showVal val="0"/>
          <c:showCatName val="0"/>
          <c:showSerName val="0"/>
          <c:showPercent val="0"/>
          <c:showBubbleSize val="0"/>
        </c:dLbls>
        <c:gapWidth val="219"/>
        <c:overlap val="-27"/>
        <c:axId val="281813392"/>
        <c:axId val="281818672"/>
      </c:barChart>
      <c:catAx>
        <c:axId val="28181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18672"/>
        <c:crosses val="autoZero"/>
        <c:auto val="1"/>
        <c:lblAlgn val="ctr"/>
        <c:lblOffset val="100"/>
        <c:noMultiLvlLbl val="0"/>
      </c:catAx>
      <c:valAx>
        <c:axId val="2818186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8181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581025</xdr:colOff>
      <xdr:row>0</xdr:row>
      <xdr:rowOff>104775</xdr:rowOff>
    </xdr:from>
    <xdr:to>
      <xdr:col>27</xdr:col>
      <xdr:colOff>466725</xdr:colOff>
      <xdr:row>4</xdr:row>
      <xdr:rowOff>76200</xdr:rowOff>
    </xdr:to>
    <xdr:sp macro="" textlink="">
      <xdr:nvSpPr>
        <xdr:cNvPr id="3" name="Rectangle: Rounded Corners 2">
          <a:extLst>
            <a:ext uri="{FF2B5EF4-FFF2-40B4-BE49-F238E27FC236}">
              <a16:creationId xmlns:a16="http://schemas.microsoft.com/office/drawing/2014/main" id="{C72C9D8F-E814-8FB3-7F5F-0CA685B725B3}"/>
            </a:ext>
          </a:extLst>
        </xdr:cNvPr>
        <xdr:cNvSpPr/>
      </xdr:nvSpPr>
      <xdr:spPr>
        <a:xfrm>
          <a:off x="1800225" y="104775"/>
          <a:ext cx="15125700" cy="73342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4000"/>
            <a:t>JUMIA PRODUCT PERFORMANCE DASHBOARD</a:t>
          </a:r>
          <a:endParaRPr lang="en-KE" sz="4000"/>
        </a:p>
      </xdr:txBody>
    </xdr:sp>
    <xdr:clientData/>
  </xdr:twoCellAnchor>
  <xdr:twoCellAnchor>
    <xdr:from>
      <xdr:col>3</xdr:col>
      <xdr:colOff>466725</xdr:colOff>
      <xdr:row>4</xdr:row>
      <xdr:rowOff>152400</xdr:rowOff>
    </xdr:from>
    <xdr:to>
      <xdr:col>6</xdr:col>
      <xdr:colOff>571500</xdr:colOff>
      <xdr:row>7</xdr:row>
      <xdr:rowOff>104775</xdr:rowOff>
    </xdr:to>
    <xdr:sp macro="" textlink="">
      <xdr:nvSpPr>
        <xdr:cNvPr id="4" name="Rectangle: Rounded Corners 3">
          <a:extLst>
            <a:ext uri="{FF2B5EF4-FFF2-40B4-BE49-F238E27FC236}">
              <a16:creationId xmlns:a16="http://schemas.microsoft.com/office/drawing/2014/main" id="{61650FA6-8D1B-5B76-DFA6-479AEB83F8D5}"/>
            </a:ext>
          </a:extLst>
        </xdr:cNvPr>
        <xdr:cNvSpPr/>
      </xdr:nvSpPr>
      <xdr:spPr>
        <a:xfrm>
          <a:off x="2295525" y="914400"/>
          <a:ext cx="1933575" cy="52387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KE" sz="1200" b="1">
              <a:solidFill>
                <a:schemeClr val="dk1"/>
              </a:solidFill>
              <a:effectLst/>
              <a:latin typeface="+mn-lt"/>
              <a:ea typeface="+mn-ea"/>
              <a:cs typeface="+mn-cs"/>
            </a:rPr>
            <a:t>Total number of products</a:t>
          </a:r>
          <a:r>
            <a:rPr lang="en-US" sz="1200" b="1">
              <a:solidFill>
                <a:schemeClr val="dk1"/>
              </a:solidFill>
              <a:effectLst/>
              <a:latin typeface="+mn-lt"/>
              <a:ea typeface="+mn-ea"/>
              <a:cs typeface="+mn-cs"/>
            </a:rPr>
            <a:t>.</a:t>
          </a:r>
        </a:p>
        <a:p>
          <a:pPr algn="l"/>
          <a:r>
            <a:rPr lang="en-US" sz="1200" b="1">
              <a:solidFill>
                <a:schemeClr val="dk1"/>
              </a:solidFill>
              <a:effectLst/>
              <a:latin typeface="+mn-lt"/>
              <a:ea typeface="+mn-ea"/>
              <a:cs typeface="+mn-cs"/>
            </a:rPr>
            <a:t>112</a:t>
          </a:r>
          <a:endParaRPr lang="en-KE" sz="1200" b="1"/>
        </a:p>
      </xdr:txBody>
    </xdr:sp>
    <xdr:clientData/>
  </xdr:twoCellAnchor>
  <xdr:twoCellAnchor>
    <xdr:from>
      <xdr:col>7</xdr:col>
      <xdr:colOff>523875</xdr:colOff>
      <xdr:row>4</xdr:row>
      <xdr:rowOff>142875</xdr:rowOff>
    </xdr:from>
    <xdr:to>
      <xdr:col>10</xdr:col>
      <xdr:colOff>400050</xdr:colOff>
      <xdr:row>7</xdr:row>
      <xdr:rowOff>85725</xdr:rowOff>
    </xdr:to>
    <xdr:sp macro="" textlink="">
      <xdr:nvSpPr>
        <xdr:cNvPr id="5" name="Rectangle: Rounded Corners 4">
          <a:extLst>
            <a:ext uri="{FF2B5EF4-FFF2-40B4-BE49-F238E27FC236}">
              <a16:creationId xmlns:a16="http://schemas.microsoft.com/office/drawing/2014/main" id="{AF5CA671-DBD1-45DE-9AB3-C6CC9116DF71}"/>
            </a:ext>
          </a:extLst>
        </xdr:cNvPr>
        <xdr:cNvSpPr/>
      </xdr:nvSpPr>
      <xdr:spPr>
        <a:xfrm>
          <a:off x="4791075" y="904875"/>
          <a:ext cx="1704975" cy="51435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KE" sz="1200" b="1" u="none" strike="noStrike">
              <a:solidFill>
                <a:schemeClr val="dk1"/>
              </a:solidFill>
              <a:effectLst/>
              <a:latin typeface="+mn-lt"/>
              <a:ea typeface="+mn-ea"/>
              <a:cs typeface="+mn-cs"/>
            </a:rPr>
            <a:t>Average product price. </a:t>
          </a:r>
        </a:p>
        <a:p>
          <a:pPr algn="l"/>
          <a:r>
            <a:rPr lang="en-KE" sz="1200" b="1" i="0" u="none" strike="noStrike">
              <a:solidFill>
                <a:schemeClr val="dk1"/>
              </a:solidFill>
              <a:effectLst/>
              <a:latin typeface="+mn-lt"/>
              <a:ea typeface="+mn-ea"/>
              <a:cs typeface="+mn-cs"/>
            </a:rPr>
            <a:t>1201.438</a:t>
          </a:r>
          <a:r>
            <a:rPr lang="en-KE" sz="1200" b="1"/>
            <a:t> </a:t>
          </a:r>
        </a:p>
      </xdr:txBody>
    </xdr:sp>
    <xdr:clientData/>
  </xdr:twoCellAnchor>
  <xdr:twoCellAnchor>
    <xdr:from>
      <xdr:col>11</xdr:col>
      <xdr:colOff>581025</xdr:colOff>
      <xdr:row>4</xdr:row>
      <xdr:rowOff>152400</xdr:rowOff>
    </xdr:from>
    <xdr:to>
      <xdr:col>15</xdr:col>
      <xdr:colOff>295274</xdr:colOff>
      <xdr:row>7</xdr:row>
      <xdr:rowOff>104775</xdr:rowOff>
    </xdr:to>
    <xdr:sp macro="" textlink="">
      <xdr:nvSpPr>
        <xdr:cNvPr id="6" name="Rectangle: Rounded Corners 5">
          <a:extLst>
            <a:ext uri="{FF2B5EF4-FFF2-40B4-BE49-F238E27FC236}">
              <a16:creationId xmlns:a16="http://schemas.microsoft.com/office/drawing/2014/main" id="{2F85B74C-0FFE-4507-A91F-438933049B29}"/>
            </a:ext>
          </a:extLst>
        </xdr:cNvPr>
        <xdr:cNvSpPr/>
      </xdr:nvSpPr>
      <xdr:spPr>
        <a:xfrm>
          <a:off x="7286625" y="914400"/>
          <a:ext cx="2152649" cy="52387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KE" sz="1200" b="1" u="none" strike="noStrike">
              <a:solidFill>
                <a:schemeClr val="dk1"/>
              </a:solidFill>
              <a:effectLst/>
              <a:latin typeface="+mn-lt"/>
              <a:ea typeface="+mn-ea"/>
              <a:cs typeface="+mn-cs"/>
            </a:rPr>
            <a:t>Average discount percentage. </a:t>
          </a:r>
        </a:p>
        <a:p>
          <a:pPr algn="l"/>
          <a:r>
            <a:rPr lang="en-KE" sz="1200" b="1" i="0" u="none" strike="noStrike">
              <a:solidFill>
                <a:schemeClr val="dk1"/>
              </a:solidFill>
              <a:effectLst/>
              <a:latin typeface="+mn-lt"/>
              <a:ea typeface="+mn-ea"/>
              <a:cs typeface="+mn-cs"/>
            </a:rPr>
            <a:t>0.367768</a:t>
          </a:r>
          <a:r>
            <a:rPr lang="en-KE" sz="1200" b="1"/>
            <a:t> </a:t>
          </a:r>
        </a:p>
      </xdr:txBody>
    </xdr:sp>
    <xdr:clientData/>
  </xdr:twoCellAnchor>
  <xdr:twoCellAnchor>
    <xdr:from>
      <xdr:col>16</xdr:col>
      <xdr:colOff>476251</xdr:colOff>
      <xdr:row>4</xdr:row>
      <xdr:rowOff>142875</xdr:rowOff>
    </xdr:from>
    <xdr:to>
      <xdr:col>18</xdr:col>
      <xdr:colOff>542925</xdr:colOff>
      <xdr:row>7</xdr:row>
      <xdr:rowOff>95250</xdr:rowOff>
    </xdr:to>
    <xdr:sp macro="" textlink="">
      <xdr:nvSpPr>
        <xdr:cNvPr id="7" name="Rectangle: Rounded Corners 6">
          <a:extLst>
            <a:ext uri="{FF2B5EF4-FFF2-40B4-BE49-F238E27FC236}">
              <a16:creationId xmlns:a16="http://schemas.microsoft.com/office/drawing/2014/main" id="{FF49AFFB-BB26-43DE-B5CA-4FBDC1A1E707}"/>
            </a:ext>
          </a:extLst>
        </xdr:cNvPr>
        <xdr:cNvSpPr/>
      </xdr:nvSpPr>
      <xdr:spPr>
        <a:xfrm>
          <a:off x="10229851" y="904875"/>
          <a:ext cx="1285874" cy="52387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KE" sz="1200" b="1">
              <a:solidFill>
                <a:schemeClr val="dk1"/>
              </a:solidFill>
              <a:effectLst/>
              <a:latin typeface="+mn-lt"/>
              <a:ea typeface="+mn-ea"/>
              <a:cs typeface="+mn-cs"/>
            </a:rPr>
            <a:t>Average rating</a:t>
          </a:r>
          <a:r>
            <a:rPr lang="en-US" sz="1200" b="1">
              <a:solidFill>
                <a:schemeClr val="dk1"/>
              </a:solidFill>
              <a:effectLst/>
              <a:latin typeface="+mn-lt"/>
              <a:ea typeface="+mn-ea"/>
              <a:cs typeface="+mn-cs"/>
            </a:rPr>
            <a:t>.</a:t>
          </a:r>
        </a:p>
        <a:p>
          <a:pPr algn="l"/>
          <a:r>
            <a:rPr lang="en-KE" sz="1200" b="1" i="0" u="none" strike="noStrike">
              <a:solidFill>
                <a:schemeClr val="dk1"/>
              </a:solidFill>
              <a:effectLst/>
              <a:latin typeface="+mn-lt"/>
              <a:ea typeface="+mn-ea"/>
              <a:cs typeface="+mn-cs"/>
            </a:rPr>
            <a:t>3.889474</a:t>
          </a:r>
          <a:r>
            <a:rPr lang="en-KE" sz="1200"/>
            <a:t> </a:t>
          </a:r>
          <a:endParaRPr lang="en-KE" sz="1200" b="1"/>
        </a:p>
      </xdr:txBody>
    </xdr:sp>
    <xdr:clientData/>
  </xdr:twoCellAnchor>
  <xdr:twoCellAnchor>
    <xdr:from>
      <xdr:col>21</xdr:col>
      <xdr:colOff>438151</xdr:colOff>
      <xdr:row>4</xdr:row>
      <xdr:rowOff>152400</xdr:rowOff>
    </xdr:from>
    <xdr:to>
      <xdr:col>24</xdr:col>
      <xdr:colOff>342901</xdr:colOff>
      <xdr:row>7</xdr:row>
      <xdr:rowOff>104775</xdr:rowOff>
    </xdr:to>
    <xdr:sp macro="" textlink="">
      <xdr:nvSpPr>
        <xdr:cNvPr id="8" name="Rectangle: Rounded Corners 7">
          <a:extLst>
            <a:ext uri="{FF2B5EF4-FFF2-40B4-BE49-F238E27FC236}">
              <a16:creationId xmlns:a16="http://schemas.microsoft.com/office/drawing/2014/main" id="{CA0C1C09-0F67-4794-A6E1-D48558F9214E}"/>
            </a:ext>
          </a:extLst>
        </xdr:cNvPr>
        <xdr:cNvSpPr/>
      </xdr:nvSpPr>
      <xdr:spPr>
        <a:xfrm>
          <a:off x="13239751" y="914400"/>
          <a:ext cx="1733550" cy="52387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KE" sz="1200" b="1" u="none" strike="noStrike">
              <a:solidFill>
                <a:schemeClr val="dk1"/>
              </a:solidFill>
              <a:effectLst/>
              <a:latin typeface="+mn-lt"/>
              <a:ea typeface="+mn-ea"/>
              <a:cs typeface="+mn-cs"/>
            </a:rPr>
            <a:t>Total customer reviews. </a:t>
          </a:r>
        </a:p>
        <a:p>
          <a:pPr algn="l"/>
          <a:r>
            <a:rPr lang="en-KE" sz="1200" b="1" i="0" u="none" strike="noStrike">
              <a:solidFill>
                <a:schemeClr val="dk1"/>
              </a:solidFill>
              <a:effectLst/>
              <a:latin typeface="+mn-lt"/>
              <a:ea typeface="+mn-ea"/>
              <a:cs typeface="+mn-cs"/>
            </a:rPr>
            <a:t>723</a:t>
          </a:r>
          <a:r>
            <a:rPr lang="en-KE" sz="1200" b="1"/>
            <a:t> </a:t>
          </a:r>
        </a:p>
      </xdr:txBody>
    </xdr:sp>
    <xdr:clientData/>
  </xdr:twoCellAnchor>
  <xdr:twoCellAnchor editAs="oneCell">
    <xdr:from>
      <xdr:col>0</xdr:col>
      <xdr:colOff>28575</xdr:colOff>
      <xdr:row>4</xdr:row>
      <xdr:rowOff>152400</xdr:rowOff>
    </xdr:from>
    <xdr:to>
      <xdr:col>3</xdr:col>
      <xdr:colOff>28575</xdr:colOff>
      <xdr:row>15</xdr:row>
      <xdr:rowOff>95250</xdr:rowOff>
    </xdr:to>
    <mc:AlternateContent xmlns:mc="http://schemas.openxmlformats.org/markup-compatibility/2006">
      <mc:Choice xmlns:a14="http://schemas.microsoft.com/office/drawing/2010/main" Requires="a14">
        <xdr:graphicFrame macro="">
          <xdr:nvGraphicFramePr>
            <xdr:cNvPr id="12" name="Rating_category">
              <a:extLst>
                <a:ext uri="{FF2B5EF4-FFF2-40B4-BE49-F238E27FC236}">
                  <a16:creationId xmlns:a16="http://schemas.microsoft.com/office/drawing/2014/main" id="{90DCA0E1-50B2-419F-9472-609337288729}"/>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dr:sp macro="" textlink="">
          <xdr:nvSpPr>
            <xdr:cNvPr id="0" name=""/>
            <xdr:cNvSpPr>
              <a:spLocks noTextEdit="1"/>
            </xdr:cNvSpPr>
          </xdr:nvSpPr>
          <xdr:spPr>
            <a:xfrm>
              <a:off x="28575" y="914400"/>
              <a:ext cx="1828800" cy="2038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19</xdr:row>
      <xdr:rowOff>104774</xdr:rowOff>
    </xdr:from>
    <xdr:to>
      <xdr:col>2</xdr:col>
      <xdr:colOff>590550</xdr:colOff>
      <xdr:row>34</xdr:row>
      <xdr:rowOff>190499</xdr:rowOff>
    </xdr:to>
    <mc:AlternateContent xmlns:mc="http://schemas.openxmlformats.org/markup-compatibility/2006">
      <mc:Choice xmlns:a14="http://schemas.microsoft.com/office/drawing/2010/main" Requires="a14">
        <xdr:graphicFrame macro="">
          <xdr:nvGraphicFramePr>
            <xdr:cNvPr id="13" name="Discount_caategory">
              <a:extLst>
                <a:ext uri="{FF2B5EF4-FFF2-40B4-BE49-F238E27FC236}">
                  <a16:creationId xmlns:a16="http://schemas.microsoft.com/office/drawing/2014/main" id="{7B934B23-FB55-4C0E-AC08-A2EB7006155F}"/>
                </a:ext>
              </a:extLst>
            </xdr:cNvPr>
            <xdr:cNvGraphicFramePr/>
          </xdr:nvGraphicFramePr>
          <xdr:xfrm>
            <a:off x="0" y="0"/>
            <a:ext cx="0" cy="0"/>
          </xdr:xfrm>
          <a:graphic>
            <a:graphicData uri="http://schemas.microsoft.com/office/drawing/2010/slicer">
              <sle:slicer xmlns:sle="http://schemas.microsoft.com/office/drawing/2010/slicer" name="Discount_caategory"/>
            </a:graphicData>
          </a:graphic>
        </xdr:graphicFrame>
      </mc:Choice>
      <mc:Fallback>
        <xdr:sp macro="" textlink="">
          <xdr:nvSpPr>
            <xdr:cNvPr id="0" name=""/>
            <xdr:cNvSpPr>
              <a:spLocks noTextEdit="1"/>
            </xdr:cNvSpPr>
          </xdr:nvSpPr>
          <xdr:spPr>
            <a:xfrm>
              <a:off x="57150" y="3724274"/>
              <a:ext cx="1752600" cy="29432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66675</xdr:rowOff>
    </xdr:from>
    <xdr:to>
      <xdr:col>3</xdr:col>
      <xdr:colOff>0</xdr:colOff>
      <xdr:row>51</xdr:row>
      <xdr:rowOff>95250</xdr:rowOff>
    </xdr:to>
    <mc:AlternateContent xmlns:mc="http://schemas.openxmlformats.org/markup-compatibility/2006">
      <mc:Choice xmlns:a14="http://schemas.microsoft.com/office/drawing/2010/main" Requires="a14">
        <xdr:graphicFrame macro="">
          <xdr:nvGraphicFramePr>
            <xdr:cNvPr id="14" name="price_category">
              <a:extLst>
                <a:ext uri="{FF2B5EF4-FFF2-40B4-BE49-F238E27FC236}">
                  <a16:creationId xmlns:a16="http://schemas.microsoft.com/office/drawing/2014/main" id="{1F6A5726-C4CB-4A6E-9C33-A6AD5010E99A}"/>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0" y="7305675"/>
              <a:ext cx="1828800" cy="25050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xdr:colOff>
      <xdr:row>8</xdr:row>
      <xdr:rowOff>0</xdr:rowOff>
    </xdr:from>
    <xdr:to>
      <xdr:col>10</xdr:col>
      <xdr:colOff>352425</xdr:colOff>
      <xdr:row>22</xdr:row>
      <xdr:rowOff>76200</xdr:rowOff>
    </xdr:to>
    <xdr:graphicFrame macro="">
      <xdr:nvGraphicFramePr>
        <xdr:cNvPr id="15" name="Chart 14">
          <a:extLst>
            <a:ext uri="{FF2B5EF4-FFF2-40B4-BE49-F238E27FC236}">
              <a16:creationId xmlns:a16="http://schemas.microsoft.com/office/drawing/2014/main" id="{B97FEBDB-E79B-4B80-ADBA-7AEFD8E39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466725</xdr:colOff>
      <xdr:row>7</xdr:row>
      <xdr:rowOff>180975</xdr:rowOff>
    </xdr:from>
    <xdr:to>
      <xdr:col>18</xdr:col>
      <xdr:colOff>161925</xdr:colOff>
      <xdr:row>22</xdr:row>
      <xdr:rowOff>66675</xdr:rowOff>
    </xdr:to>
    <xdr:graphicFrame macro="">
      <xdr:nvGraphicFramePr>
        <xdr:cNvPr id="16" name="Chart 15">
          <a:extLst>
            <a:ext uri="{FF2B5EF4-FFF2-40B4-BE49-F238E27FC236}">
              <a16:creationId xmlns:a16="http://schemas.microsoft.com/office/drawing/2014/main" id="{6A138154-BC25-4D96-AFB4-C7B03E198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22</xdr:row>
      <xdr:rowOff>123825</xdr:rowOff>
    </xdr:from>
    <xdr:to>
      <xdr:col>10</xdr:col>
      <xdr:colOff>361950</xdr:colOff>
      <xdr:row>37</xdr:row>
      <xdr:rowOff>9525</xdr:rowOff>
    </xdr:to>
    <xdr:graphicFrame macro="">
      <xdr:nvGraphicFramePr>
        <xdr:cNvPr id="17" name="Chart 16">
          <a:extLst>
            <a:ext uri="{FF2B5EF4-FFF2-40B4-BE49-F238E27FC236}">
              <a16:creationId xmlns:a16="http://schemas.microsoft.com/office/drawing/2014/main" id="{C2EA6F73-EA0E-4AE4-ABB9-4585668DE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476250</xdr:colOff>
      <xdr:row>22</xdr:row>
      <xdr:rowOff>114300</xdr:rowOff>
    </xdr:from>
    <xdr:to>
      <xdr:col>18</xdr:col>
      <xdr:colOff>171450</xdr:colOff>
      <xdr:row>37</xdr:row>
      <xdr:rowOff>0</xdr:rowOff>
    </xdr:to>
    <xdr:graphicFrame macro="">
      <xdr:nvGraphicFramePr>
        <xdr:cNvPr id="18" name="Chart 17">
          <a:extLst>
            <a:ext uri="{FF2B5EF4-FFF2-40B4-BE49-F238E27FC236}">
              <a16:creationId xmlns:a16="http://schemas.microsoft.com/office/drawing/2014/main" id="{66A189D3-C708-4168-B342-2A2FDA766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266700</xdr:colOff>
      <xdr:row>7</xdr:row>
      <xdr:rowOff>180975</xdr:rowOff>
    </xdr:from>
    <xdr:to>
      <xdr:col>25</xdr:col>
      <xdr:colOff>571500</xdr:colOff>
      <xdr:row>22</xdr:row>
      <xdr:rowOff>66675</xdr:rowOff>
    </xdr:to>
    <xdr:graphicFrame macro="">
      <xdr:nvGraphicFramePr>
        <xdr:cNvPr id="19" name="Chart 18">
          <a:extLst>
            <a:ext uri="{FF2B5EF4-FFF2-40B4-BE49-F238E27FC236}">
              <a16:creationId xmlns:a16="http://schemas.microsoft.com/office/drawing/2014/main" id="{87E4D11F-6CB7-434E-9010-5B6BD6AFA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295275</xdr:colOff>
      <xdr:row>22</xdr:row>
      <xdr:rowOff>142875</xdr:rowOff>
    </xdr:from>
    <xdr:to>
      <xdr:col>25</xdr:col>
      <xdr:colOff>600075</xdr:colOff>
      <xdr:row>37</xdr:row>
      <xdr:rowOff>28575</xdr:rowOff>
    </xdr:to>
    <xdr:graphicFrame macro="">
      <xdr:nvGraphicFramePr>
        <xdr:cNvPr id="20" name="Chart 19">
          <a:extLst>
            <a:ext uri="{FF2B5EF4-FFF2-40B4-BE49-F238E27FC236}">
              <a16:creationId xmlns:a16="http://schemas.microsoft.com/office/drawing/2014/main" id="{71C187DB-B3E5-4F2C-AD54-9F43A2B9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xdr:colOff>
      <xdr:row>37</xdr:row>
      <xdr:rowOff>57150</xdr:rowOff>
    </xdr:from>
    <xdr:to>
      <xdr:col>10</xdr:col>
      <xdr:colOff>361950</xdr:colOff>
      <xdr:row>51</xdr:row>
      <xdr:rowOff>133350</xdr:rowOff>
    </xdr:to>
    <xdr:graphicFrame macro="">
      <xdr:nvGraphicFramePr>
        <xdr:cNvPr id="22" name="Chart 21">
          <a:extLst>
            <a:ext uri="{FF2B5EF4-FFF2-40B4-BE49-F238E27FC236}">
              <a16:creationId xmlns:a16="http://schemas.microsoft.com/office/drawing/2014/main" id="{232DD125-8057-40DB-8438-F188C8F2E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485775</xdr:colOff>
      <xdr:row>37</xdr:row>
      <xdr:rowOff>76200</xdr:rowOff>
    </xdr:from>
    <xdr:to>
      <xdr:col>18</xdr:col>
      <xdr:colOff>180975</xdr:colOff>
      <xdr:row>51</xdr:row>
      <xdr:rowOff>152400</xdr:rowOff>
    </xdr:to>
    <xdr:graphicFrame macro="">
      <xdr:nvGraphicFramePr>
        <xdr:cNvPr id="23" name="Chart 22">
          <a:extLst>
            <a:ext uri="{FF2B5EF4-FFF2-40B4-BE49-F238E27FC236}">
              <a16:creationId xmlns:a16="http://schemas.microsoft.com/office/drawing/2014/main" id="{A4FE2DBA-888D-4E5F-AC1C-30D14FE38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_kim.Mark" refreshedDate="46270.445037152778" createdVersion="8" refreshedVersion="8" minRefreshableVersion="3" recordCount="112" xr:uid="{73684A18-34C1-4A62-8685-03931936D073}">
  <cacheSource type="worksheet">
    <worksheetSource name="tblCleaned"/>
  </cacheSource>
  <cacheFields count="11">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acheField>
    <cacheField name="Old prices" numFmtId="0">
      <sharedItems containsSemiMixedTypes="0" containsString="0" containsNumber="1" containsInteger="1" minValue="80" maxValue="6143"/>
    </cacheField>
    <cacheField name="Discount_price" numFmtId="0">
      <sharedItems containsSemiMixedTypes="0" containsString="0" containsNumber="1" containsInteger="1" minValue="-1440" maxValue="2585"/>
    </cacheField>
    <cacheField name="Discount" numFmtId="0">
      <sharedItems containsSemiMixedTypes="0" containsString="0" containsNumber="1" minValue="0.01" maxValue="0.64"/>
    </cacheField>
    <cacheField name="Review" numFmtId="0">
      <sharedItems containsString="0" containsBlank="1" containsNumber="1" containsInteger="1" minValue="1" maxValue="69"/>
    </cacheField>
    <cacheField name="Rating" numFmtId="0">
      <sharedItems containsMixedTypes="1" containsNumber="1" minValue="2" maxValue="5"/>
    </cacheField>
    <cacheField name="Review_Category" numFmtId="0">
      <sharedItems/>
    </cacheField>
    <cacheField name="Rating_category" numFmtId="0">
      <sharedItems count="4">
        <s v="Excellent"/>
        <s v="Average"/>
        <s v="Not Rated"/>
        <s v="Poor"/>
      </sharedItems>
    </cacheField>
    <cacheField name="Discount_caategory" numFmtId="0">
      <sharedItems count="6">
        <s v="Medium Discount"/>
        <s v="High Discount"/>
        <s v="Low Discount"/>
        <s v="Average" u="1"/>
        <s v="Excelent" u="1"/>
        <s v="poor" u="1"/>
      </sharedItems>
    </cacheField>
    <cacheField name="price_category" numFmtId="0">
      <sharedItems count="4">
        <s v="Medium"/>
        <s v="High"/>
        <s v="Low"/>
        <s v="Premium"/>
      </sharedItems>
    </cacheField>
  </cacheFields>
  <extLst>
    <ext xmlns:x14="http://schemas.microsoft.com/office/spreadsheetml/2009/9/main" uri="{725AE2AE-9491-48be-B2B4-4EB974FC3084}">
      <x14:pivotCacheDefinition pivotCacheId="762927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575"/>
    <n v="0.38"/>
    <n v="2"/>
    <n v="4.5"/>
    <s v="Low"/>
    <x v="0"/>
    <x v="0"/>
    <x v="0"/>
  </r>
  <r>
    <x v="1"/>
    <n v="527"/>
    <n v="999"/>
    <n v="472"/>
    <n v="0.47"/>
    <n v="14"/>
    <n v="4.0999999999999996"/>
    <s v="Medium"/>
    <x v="0"/>
    <x v="1"/>
    <x v="0"/>
  </r>
  <r>
    <x v="2"/>
    <n v="2199"/>
    <n v="2923"/>
    <n v="724"/>
    <n v="0.25"/>
    <n v="24"/>
    <n v="4.5999999999999996"/>
    <s v="High"/>
    <x v="0"/>
    <x v="0"/>
    <x v="1"/>
  </r>
  <r>
    <x v="3"/>
    <n v="1580"/>
    <n v="2499"/>
    <n v="919"/>
    <n v="0.37"/>
    <n v="7"/>
    <n v="4.7"/>
    <s v="Medium"/>
    <x v="0"/>
    <x v="0"/>
    <x v="1"/>
  </r>
  <r>
    <x v="4"/>
    <n v="1740"/>
    <n v="2356"/>
    <n v="616"/>
    <n v="0.26"/>
    <n v="5"/>
    <n v="4.8"/>
    <s v="Medium"/>
    <x v="0"/>
    <x v="0"/>
    <x v="1"/>
  </r>
  <r>
    <x v="5"/>
    <n v="2999"/>
    <n v="3290"/>
    <n v="291"/>
    <n v="0.09"/>
    <n v="15"/>
    <n v="4"/>
    <s v="Medium"/>
    <x v="0"/>
    <x v="2"/>
    <x v="1"/>
  </r>
  <r>
    <x v="6"/>
    <n v="2319"/>
    <n v="3032"/>
    <n v="713"/>
    <n v="0.24"/>
    <n v="55"/>
    <n v="4.5999999999999996"/>
    <s v="High"/>
    <x v="0"/>
    <x v="0"/>
    <x v="1"/>
  </r>
  <r>
    <x v="7"/>
    <n v="988"/>
    <n v="1580"/>
    <n v="592"/>
    <n v="0.37"/>
    <n v="2"/>
    <n v="4"/>
    <s v="Low"/>
    <x v="0"/>
    <x v="0"/>
    <x v="0"/>
  </r>
  <r>
    <x v="8"/>
    <n v="1274"/>
    <n v="2800"/>
    <n v="1526"/>
    <n v="0.55000000000000004"/>
    <n v="5"/>
    <n v="4.8"/>
    <s v="Medium"/>
    <x v="0"/>
    <x v="1"/>
    <x v="0"/>
  </r>
  <r>
    <x v="9"/>
    <n v="1600"/>
    <n v="2929"/>
    <n v="1329"/>
    <n v="0.45"/>
    <n v="5"/>
    <n v="3.8"/>
    <s v="Medium"/>
    <x v="1"/>
    <x v="1"/>
    <x v="1"/>
  </r>
  <r>
    <x v="10"/>
    <n v="799"/>
    <n v="999"/>
    <n v="200"/>
    <n v="0.2"/>
    <n v="12"/>
    <n v="4.0999999999999996"/>
    <s v="Medium"/>
    <x v="0"/>
    <x v="0"/>
    <x v="0"/>
  </r>
  <r>
    <x v="11"/>
    <n v="990"/>
    <n v="1500"/>
    <n v="510"/>
    <n v="0.34"/>
    <n v="39"/>
    <n v="4.7"/>
    <s v="High"/>
    <x v="0"/>
    <x v="0"/>
    <x v="0"/>
  </r>
  <r>
    <x v="12"/>
    <n v="552"/>
    <n v="1035"/>
    <n v="483"/>
    <n v="0.47"/>
    <n v="12"/>
    <n v="4.8"/>
    <s v="Medium"/>
    <x v="0"/>
    <x v="1"/>
    <x v="0"/>
  </r>
  <r>
    <x v="13"/>
    <n v="501"/>
    <n v="860"/>
    <n v="359"/>
    <n v="0.42"/>
    <n v="6"/>
    <n v="4.5"/>
    <s v="Medium"/>
    <x v="0"/>
    <x v="1"/>
    <x v="0"/>
  </r>
  <r>
    <x v="14"/>
    <n v="1680"/>
    <n v="2499"/>
    <n v="819"/>
    <n v="0.33"/>
    <n v="9"/>
    <n v="4.2"/>
    <s v="Medium"/>
    <x v="0"/>
    <x v="0"/>
    <x v="1"/>
  </r>
  <r>
    <x v="15"/>
    <n v="332"/>
    <n v="684"/>
    <n v="352"/>
    <n v="0.51"/>
    <n v="2"/>
    <n v="5"/>
    <s v="Low"/>
    <x v="0"/>
    <x v="1"/>
    <x v="2"/>
  </r>
  <r>
    <x v="16"/>
    <n v="195"/>
    <n v="360"/>
    <n v="165"/>
    <n v="0.46"/>
    <n v="2"/>
    <n v="5"/>
    <s v="Low"/>
    <x v="0"/>
    <x v="1"/>
    <x v="2"/>
  </r>
  <r>
    <x v="17"/>
    <n v="2025"/>
    <n v="3971"/>
    <n v="1946"/>
    <n v="0.49"/>
    <n v="3"/>
    <n v="5"/>
    <s v="Low"/>
    <x v="0"/>
    <x v="1"/>
    <x v="1"/>
  </r>
  <r>
    <x v="18"/>
    <n v="2999"/>
    <n v="3699"/>
    <n v="700"/>
    <n v="0.19"/>
    <n v="5"/>
    <n v="4.5999999999999996"/>
    <s v="Medium"/>
    <x v="0"/>
    <x v="2"/>
    <x v="1"/>
  </r>
  <r>
    <x v="19"/>
    <n v="998"/>
    <n v="1966"/>
    <n v="968"/>
    <n v="0.49"/>
    <n v="44"/>
    <n v="4.5999999999999996"/>
    <s v="High"/>
    <x v="0"/>
    <x v="1"/>
    <x v="0"/>
  </r>
  <r>
    <x v="20"/>
    <n v="38"/>
    <n v="80"/>
    <n v="42"/>
    <n v="0.53"/>
    <n v="13"/>
    <n v="3.3"/>
    <s v="Medium"/>
    <x v="1"/>
    <x v="1"/>
    <x v="2"/>
  </r>
  <r>
    <x v="21"/>
    <n v="1860"/>
    <n v="3220"/>
    <n v="1360"/>
    <n v="0.42"/>
    <m/>
    <s v=""/>
    <s v="No reviews"/>
    <x v="2"/>
    <x v="1"/>
    <x v="1"/>
  </r>
  <r>
    <x v="22"/>
    <n v="880"/>
    <n v="1350"/>
    <n v="470"/>
    <n v="0.35"/>
    <n v="6"/>
    <n v="4"/>
    <s v="Medium"/>
    <x v="0"/>
    <x v="0"/>
    <x v="0"/>
  </r>
  <r>
    <x v="23"/>
    <n v="1650"/>
    <n v="2150"/>
    <n v="500"/>
    <n v="0.23"/>
    <n v="14"/>
    <n v="4.4000000000000004"/>
    <s v="Medium"/>
    <x v="0"/>
    <x v="0"/>
    <x v="1"/>
  </r>
  <r>
    <x v="24"/>
    <n v="2048"/>
    <n v="4500"/>
    <n v="2452"/>
    <n v="0.54"/>
    <n v="7"/>
    <n v="4.3"/>
    <s v="Medium"/>
    <x v="0"/>
    <x v="1"/>
    <x v="1"/>
  </r>
  <r>
    <x v="25"/>
    <n v="420"/>
    <n v="647"/>
    <n v="227"/>
    <n v="0.35"/>
    <n v="49"/>
    <n v="4.5999999999999996"/>
    <s v="High"/>
    <x v="0"/>
    <x v="0"/>
    <x v="2"/>
  </r>
  <r>
    <x v="26"/>
    <n v="2880"/>
    <n v="3520"/>
    <n v="640"/>
    <n v="0.18"/>
    <n v="12"/>
    <n v="3.8"/>
    <s v="Medium"/>
    <x v="1"/>
    <x v="2"/>
    <x v="1"/>
  </r>
  <r>
    <x v="27"/>
    <n v="1350"/>
    <n v="1990"/>
    <n v="640"/>
    <n v="0.32"/>
    <n v="13"/>
    <n v="3.8"/>
    <s v="Medium"/>
    <x v="1"/>
    <x v="0"/>
    <x v="0"/>
  </r>
  <r>
    <x v="28"/>
    <n v="1758"/>
    <n v="2499"/>
    <n v="741"/>
    <n v="0.3"/>
    <n v="20"/>
    <n v="4.0999999999999996"/>
    <s v="High"/>
    <x v="0"/>
    <x v="0"/>
    <x v="1"/>
  </r>
  <r>
    <x v="29"/>
    <n v="2200"/>
    <n v="4080"/>
    <n v="1880"/>
    <n v="0.46"/>
    <m/>
    <s v=""/>
    <s v="No reviews"/>
    <x v="2"/>
    <x v="1"/>
    <x v="1"/>
  </r>
  <r>
    <x v="30"/>
    <n v="185"/>
    <n v="382"/>
    <n v="197"/>
    <n v="0.52"/>
    <n v="9"/>
    <n v="4.3"/>
    <s v="Medium"/>
    <x v="0"/>
    <x v="1"/>
    <x v="2"/>
  </r>
  <r>
    <x v="31"/>
    <n v="980"/>
    <n v="1490"/>
    <n v="510"/>
    <n v="0.34"/>
    <n v="12"/>
    <n v="4.7"/>
    <s v="Medium"/>
    <x v="0"/>
    <x v="0"/>
    <x v="0"/>
  </r>
  <r>
    <x v="32"/>
    <n v="1820"/>
    <n v="3490"/>
    <n v="1670"/>
    <n v="0.48"/>
    <n v="9"/>
    <n v="4.3"/>
    <s v="Medium"/>
    <x v="0"/>
    <x v="1"/>
    <x v="1"/>
  </r>
  <r>
    <x v="33"/>
    <n v="1940"/>
    <n v="2650"/>
    <n v="710"/>
    <n v="0.27"/>
    <n v="20"/>
    <n v="4.7"/>
    <s v="High"/>
    <x v="0"/>
    <x v="0"/>
    <x v="1"/>
  </r>
  <r>
    <x v="34"/>
    <n v="1980"/>
    <n v="2699"/>
    <n v="719"/>
    <n v="0.27"/>
    <n v="32"/>
    <n v="4.5"/>
    <s v="High"/>
    <x v="0"/>
    <x v="0"/>
    <x v="1"/>
  </r>
  <r>
    <x v="35"/>
    <n v="1620"/>
    <n v="2690"/>
    <n v="1070"/>
    <n v="0.4"/>
    <n v="1"/>
    <n v="5"/>
    <s v="Low"/>
    <x v="0"/>
    <x v="1"/>
    <x v="1"/>
  </r>
  <r>
    <x v="36"/>
    <n v="1800"/>
    <n v="360"/>
    <n v="-1440"/>
    <n v="0.53"/>
    <n v="2"/>
    <n v="5"/>
    <s v="Low"/>
    <x v="0"/>
    <x v="1"/>
    <x v="1"/>
  </r>
  <r>
    <x v="37"/>
    <n v="389"/>
    <n v="656"/>
    <n v="267"/>
    <n v="0.41"/>
    <n v="36"/>
    <n v="4.3"/>
    <s v="High"/>
    <x v="0"/>
    <x v="1"/>
    <x v="2"/>
  </r>
  <r>
    <x v="38"/>
    <n v="1800"/>
    <n v="2700"/>
    <n v="900"/>
    <n v="0.38"/>
    <n v="2"/>
    <n v="4.5"/>
    <s v="Low"/>
    <x v="0"/>
    <x v="0"/>
    <x v="1"/>
  </r>
  <r>
    <x v="39"/>
    <n v="2750"/>
    <n v="4471"/>
    <n v="1721"/>
    <n v="0.38"/>
    <m/>
    <s v=""/>
    <s v="No reviews"/>
    <x v="2"/>
    <x v="0"/>
    <x v="1"/>
  </r>
  <r>
    <x v="40"/>
    <n v="475"/>
    <n v="931"/>
    <n v="456"/>
    <n v="0.49"/>
    <m/>
    <s v=""/>
    <s v="No reviews"/>
    <x v="2"/>
    <x v="1"/>
    <x v="2"/>
  </r>
  <r>
    <x v="41"/>
    <n v="238"/>
    <n v="476"/>
    <n v="238"/>
    <n v="0.5"/>
    <m/>
    <s v=""/>
    <s v="No reviews"/>
    <x v="2"/>
    <x v="1"/>
    <x v="2"/>
  </r>
  <r>
    <x v="42"/>
    <n v="610"/>
    <n v="1060"/>
    <n v="450"/>
    <n v="0.42"/>
    <m/>
    <s v=""/>
    <s v="No reviews"/>
    <x v="2"/>
    <x v="1"/>
    <x v="0"/>
  </r>
  <r>
    <x v="43"/>
    <n v="2132"/>
    <n v="2169"/>
    <n v="37"/>
    <n v="0.02"/>
    <m/>
    <s v=""/>
    <s v="No reviews"/>
    <x v="2"/>
    <x v="2"/>
    <x v="1"/>
  </r>
  <r>
    <x v="44"/>
    <n v="999"/>
    <n v="2000"/>
    <n v="1001"/>
    <n v="0.5"/>
    <m/>
    <s v=""/>
    <s v="No reviews"/>
    <x v="2"/>
    <x v="1"/>
    <x v="0"/>
  </r>
  <r>
    <x v="45"/>
    <n v="1190"/>
    <n v="1785"/>
    <n v="595"/>
    <n v="0.33"/>
    <m/>
    <s v=""/>
    <s v="No reviews"/>
    <x v="2"/>
    <x v="0"/>
    <x v="0"/>
  </r>
  <r>
    <x v="46"/>
    <n v="671"/>
    <n v="1316"/>
    <n v="645"/>
    <n v="0.49"/>
    <m/>
    <s v=""/>
    <s v="No reviews"/>
    <x v="2"/>
    <x v="1"/>
    <x v="0"/>
  </r>
  <r>
    <x v="47"/>
    <n v="1200"/>
    <n v="1950"/>
    <n v="750"/>
    <n v="0.38"/>
    <m/>
    <s v=""/>
    <s v="No reviews"/>
    <x v="2"/>
    <x v="0"/>
    <x v="0"/>
  </r>
  <r>
    <x v="48"/>
    <n v="199"/>
    <n v="504"/>
    <n v="305"/>
    <n v="0.61"/>
    <m/>
    <s v=""/>
    <s v="No reviews"/>
    <x v="2"/>
    <x v="1"/>
    <x v="2"/>
  </r>
  <r>
    <x v="49"/>
    <n v="299"/>
    <n v="600"/>
    <n v="301"/>
    <n v="0.5"/>
    <m/>
    <s v=""/>
    <s v="No reviews"/>
    <x v="2"/>
    <x v="1"/>
    <x v="2"/>
  </r>
  <r>
    <x v="50"/>
    <n v="1660"/>
    <n v="1699"/>
    <n v="39"/>
    <n v="0.02"/>
    <m/>
    <s v=""/>
    <s v="No reviews"/>
    <x v="2"/>
    <x v="2"/>
    <x v="1"/>
  </r>
  <r>
    <x v="51"/>
    <n v="299"/>
    <n v="384"/>
    <n v="85"/>
    <n v="0.22"/>
    <m/>
    <s v=""/>
    <s v="No reviews"/>
    <x v="2"/>
    <x v="0"/>
    <x v="2"/>
  </r>
  <r>
    <x v="52"/>
    <n v="1459"/>
    <n v="1499"/>
    <n v="40"/>
    <n v="0.03"/>
    <m/>
    <s v=""/>
    <s v="No reviews"/>
    <x v="2"/>
    <x v="2"/>
    <x v="0"/>
  </r>
  <r>
    <x v="53"/>
    <n v="799"/>
    <n v="1343"/>
    <n v="544"/>
    <n v="0.41"/>
    <m/>
    <s v=""/>
    <s v="No reviews"/>
    <x v="2"/>
    <x v="1"/>
    <x v="0"/>
  </r>
  <r>
    <x v="54"/>
    <n v="499"/>
    <n v="900"/>
    <n v="401"/>
    <n v="0.45"/>
    <m/>
    <s v=""/>
    <s v="No reviews"/>
    <x v="2"/>
    <x v="1"/>
    <x v="2"/>
  </r>
  <r>
    <x v="55"/>
    <n v="699"/>
    <n v="1343"/>
    <n v="644"/>
    <n v="0.48"/>
    <m/>
    <s v=""/>
    <s v="No reviews"/>
    <x v="2"/>
    <x v="1"/>
    <x v="0"/>
  </r>
  <r>
    <x v="56"/>
    <n v="799"/>
    <n v="1567"/>
    <n v="768"/>
    <n v="0.49"/>
    <m/>
    <s v=""/>
    <s v="No reviews"/>
    <x v="2"/>
    <x v="1"/>
    <x v="0"/>
  </r>
  <r>
    <x v="57"/>
    <n v="2799"/>
    <n v="3810"/>
    <n v="1011"/>
    <n v="0.27"/>
    <m/>
    <s v=""/>
    <s v="No reviews"/>
    <x v="2"/>
    <x v="0"/>
    <x v="1"/>
  </r>
  <r>
    <x v="54"/>
    <n v="399"/>
    <n v="896"/>
    <n v="497"/>
    <n v="0.55000000000000004"/>
    <m/>
    <s v=""/>
    <s v="No reviews"/>
    <x v="2"/>
    <x v="1"/>
    <x v="2"/>
  </r>
  <r>
    <x v="58"/>
    <n v="2170"/>
    <n v="2500"/>
    <n v="330"/>
    <n v="0.13"/>
    <n v="6"/>
    <n v="2.5"/>
    <s v="Medium"/>
    <x v="3"/>
    <x v="2"/>
    <x v="1"/>
  </r>
  <r>
    <x v="59"/>
    <n v="458"/>
    <n v="986"/>
    <n v="528"/>
    <n v="0.54"/>
    <n v="10"/>
    <n v="3"/>
    <s v="Medium"/>
    <x v="1"/>
    <x v="1"/>
    <x v="2"/>
  </r>
  <r>
    <x v="60"/>
    <n v="2115"/>
    <n v="4700"/>
    <n v="2585"/>
    <n v="0.55000000000000004"/>
    <n v="13"/>
    <n v="2.1"/>
    <s v="Medium"/>
    <x v="3"/>
    <x v="1"/>
    <x v="1"/>
  </r>
  <r>
    <x v="61"/>
    <n v="445"/>
    <n v="873"/>
    <n v="428"/>
    <n v="0.49"/>
    <n v="69"/>
    <n v="2.8"/>
    <s v="High"/>
    <x v="3"/>
    <x v="1"/>
    <x v="2"/>
  </r>
  <r>
    <x v="62"/>
    <n v="325"/>
    <n v="680"/>
    <n v="355"/>
    <n v="0.52"/>
    <n v="15"/>
    <n v="2.7"/>
    <s v="Medium"/>
    <x v="3"/>
    <x v="1"/>
    <x v="2"/>
  </r>
  <r>
    <x v="63"/>
    <n v="1220"/>
    <n v="1555"/>
    <n v="335"/>
    <n v="0.22"/>
    <n v="16"/>
    <n v="2.9"/>
    <s v="Medium"/>
    <x v="3"/>
    <x v="0"/>
    <x v="0"/>
  </r>
  <r>
    <x v="64"/>
    <n v="990"/>
    <n v="1814"/>
    <n v="824"/>
    <n v="0.45"/>
    <n v="6"/>
    <n v="2.2000000000000002"/>
    <s v="Medium"/>
    <x v="3"/>
    <x v="1"/>
    <x v="0"/>
  </r>
  <r>
    <x v="65"/>
    <n v="1000"/>
    <n v="2000"/>
    <n v="1000"/>
    <n v="0.5"/>
    <n v="7"/>
    <n v="2.2999999999999998"/>
    <s v="Medium"/>
    <x v="3"/>
    <x v="1"/>
    <x v="0"/>
  </r>
  <r>
    <x v="66"/>
    <n v="3750"/>
    <n v="6143"/>
    <n v="2393"/>
    <n v="0.39"/>
    <n v="5"/>
    <n v="3"/>
    <s v="Medium"/>
    <x v="1"/>
    <x v="0"/>
    <x v="3"/>
  </r>
  <r>
    <x v="67"/>
    <n v="382"/>
    <n v="700"/>
    <n v="318"/>
    <n v="0.45"/>
    <n v="17"/>
    <n v="2.6"/>
    <s v="Medium"/>
    <x v="3"/>
    <x v="1"/>
    <x v="2"/>
  </r>
  <r>
    <x v="68"/>
    <n v="2300"/>
    <n v="3240"/>
    <n v="940"/>
    <n v="0.28999999999999998"/>
    <n v="5"/>
    <n v="3"/>
    <s v="Medium"/>
    <x v="1"/>
    <x v="0"/>
    <x v="1"/>
  </r>
  <r>
    <x v="69"/>
    <n v="345"/>
    <n v="602"/>
    <n v="257"/>
    <n v="0.43"/>
    <n v="6"/>
    <n v="2.2999999999999998"/>
    <s v="Medium"/>
    <x v="3"/>
    <x v="1"/>
    <x v="2"/>
  </r>
  <r>
    <x v="70"/>
    <n v="509"/>
    <n v="899"/>
    <n v="390"/>
    <n v="0.43"/>
    <n v="5"/>
    <n v="3"/>
    <s v="Medium"/>
    <x v="1"/>
    <x v="1"/>
    <x v="0"/>
  </r>
  <r>
    <x v="71"/>
    <n v="968"/>
    <n v="1814"/>
    <n v="846"/>
    <n v="0.47"/>
    <n v="6"/>
    <n v="2.2000000000000002"/>
    <s v="Medium"/>
    <x v="3"/>
    <x v="1"/>
    <x v="0"/>
  </r>
  <r>
    <x v="72"/>
    <n v="1570"/>
    <n v="2988"/>
    <n v="1418"/>
    <n v="0.47"/>
    <n v="7"/>
    <n v="2.1"/>
    <s v="Medium"/>
    <x v="3"/>
    <x v="1"/>
    <x v="1"/>
  </r>
  <r>
    <x v="73"/>
    <n v="790"/>
    <n v="1485"/>
    <n v="695"/>
    <n v="0.47"/>
    <m/>
    <s v=""/>
    <s v="No reviews"/>
    <x v="2"/>
    <x v="1"/>
    <x v="0"/>
  </r>
  <r>
    <x v="74"/>
    <n v="690"/>
    <n v="1200"/>
    <n v="510"/>
    <n v="0.43"/>
    <m/>
    <s v=""/>
    <s v="No reviews"/>
    <x v="2"/>
    <x v="1"/>
    <x v="0"/>
  </r>
  <r>
    <x v="75"/>
    <n v="1732"/>
    <n v="1799"/>
    <n v="67"/>
    <n v="0.04"/>
    <m/>
    <s v=""/>
    <s v="No reviews"/>
    <x v="2"/>
    <x v="2"/>
    <x v="1"/>
  </r>
  <r>
    <x v="76"/>
    <n v="230"/>
    <n v="450"/>
    <n v="220"/>
    <n v="0.49"/>
    <m/>
    <s v=""/>
    <s v="No reviews"/>
    <x v="2"/>
    <x v="1"/>
    <x v="2"/>
  </r>
  <r>
    <x v="77"/>
    <n v="1189"/>
    <n v="2199"/>
    <n v="1010"/>
    <n v="0.46"/>
    <n v="1"/>
    <n v="3"/>
    <s v="Low"/>
    <x v="1"/>
    <x v="1"/>
    <x v="0"/>
  </r>
  <r>
    <x v="78"/>
    <n v="979"/>
    <n v="1920"/>
    <n v="941"/>
    <n v="0.49"/>
    <n v="1"/>
    <n v="5"/>
    <s v="Low"/>
    <x v="0"/>
    <x v="1"/>
    <x v="0"/>
  </r>
  <r>
    <x v="79"/>
    <n v="1460"/>
    <n v="2290"/>
    <n v="830"/>
    <n v="0.36"/>
    <m/>
    <s v=""/>
    <s v="No reviews"/>
    <x v="2"/>
    <x v="0"/>
    <x v="0"/>
  </r>
  <r>
    <x v="80"/>
    <n v="1666"/>
    <n v="1699"/>
    <n v="33"/>
    <n v="0.02"/>
    <m/>
    <s v=""/>
    <s v="No reviews"/>
    <x v="2"/>
    <x v="2"/>
    <x v="1"/>
  </r>
  <r>
    <x v="81"/>
    <n v="330"/>
    <n v="647"/>
    <n v="317"/>
    <n v="0.49"/>
    <n v="1"/>
    <n v="4"/>
    <s v="Low"/>
    <x v="0"/>
    <x v="1"/>
    <x v="2"/>
  </r>
  <r>
    <x v="48"/>
    <n v="176"/>
    <n v="345"/>
    <n v="169"/>
    <n v="0.49"/>
    <m/>
    <s v=""/>
    <s v="No reviews"/>
    <x v="2"/>
    <x v="1"/>
    <x v="2"/>
  </r>
  <r>
    <x v="82"/>
    <n v="1466"/>
    <n v="1699"/>
    <n v="233"/>
    <n v="0.14000000000000001"/>
    <m/>
    <s v=""/>
    <s v="No reviews"/>
    <x v="2"/>
    <x v="2"/>
    <x v="0"/>
  </r>
  <r>
    <x v="83"/>
    <n v="274"/>
    <n v="537"/>
    <n v="263"/>
    <n v="0.49"/>
    <m/>
    <s v=""/>
    <s v="No reviews"/>
    <x v="2"/>
    <x v="1"/>
    <x v="2"/>
  </r>
  <r>
    <x v="84"/>
    <n v="799"/>
    <n v="900"/>
    <n v="101"/>
    <n v="0.11"/>
    <m/>
    <s v=""/>
    <s v="No reviews"/>
    <x v="2"/>
    <x v="2"/>
    <x v="0"/>
  </r>
  <r>
    <x v="56"/>
    <n v="657"/>
    <n v="1288"/>
    <n v="631"/>
    <n v="0.49"/>
    <m/>
    <s v=""/>
    <s v="No reviews"/>
    <x v="2"/>
    <x v="1"/>
    <x v="0"/>
  </r>
  <r>
    <x v="85"/>
    <n v="1468"/>
    <n v="1699"/>
    <n v="231"/>
    <n v="0.14000000000000001"/>
    <m/>
    <s v=""/>
    <s v="No reviews"/>
    <x v="2"/>
    <x v="2"/>
    <x v="0"/>
  </r>
  <r>
    <x v="86"/>
    <n v="630"/>
    <n v="1100"/>
    <n v="470"/>
    <n v="0.43"/>
    <m/>
    <s v=""/>
    <s v="No reviews"/>
    <x v="2"/>
    <x v="1"/>
    <x v="0"/>
  </r>
  <r>
    <x v="87"/>
    <n v="850"/>
    <n v="1700"/>
    <n v="850"/>
    <n v="0.5"/>
    <m/>
    <s v=""/>
    <s v="No reviews"/>
    <x v="2"/>
    <x v="1"/>
    <x v="0"/>
  </r>
  <r>
    <x v="88"/>
    <n v="1300"/>
    <n v="2500"/>
    <n v="1200"/>
    <n v="0.48"/>
    <m/>
    <s v=""/>
    <s v="No reviews"/>
    <x v="2"/>
    <x v="1"/>
    <x v="0"/>
  </r>
  <r>
    <x v="89"/>
    <n v="105"/>
    <n v="200"/>
    <n v="95"/>
    <n v="0.48"/>
    <m/>
    <s v=""/>
    <s v="No reviews"/>
    <x v="2"/>
    <x v="1"/>
    <x v="2"/>
  </r>
  <r>
    <x v="90"/>
    <n v="899"/>
    <n v="1699"/>
    <n v="800"/>
    <n v="0.47"/>
    <m/>
    <s v=""/>
    <s v="No reviews"/>
    <x v="2"/>
    <x v="1"/>
    <x v="0"/>
  </r>
  <r>
    <x v="91"/>
    <n v="1200"/>
    <n v="2400"/>
    <n v="1200"/>
    <n v="0.5"/>
    <m/>
    <s v=""/>
    <s v="No reviews"/>
    <x v="2"/>
    <x v="1"/>
    <x v="0"/>
  </r>
  <r>
    <x v="92"/>
    <n v="1526"/>
    <n v="1660"/>
    <n v="134"/>
    <n v="0.08"/>
    <m/>
    <s v=""/>
    <s v="No reviews"/>
    <x v="2"/>
    <x v="2"/>
    <x v="1"/>
  </r>
  <r>
    <x v="93"/>
    <n v="1462"/>
    <n v="1499"/>
    <n v="37"/>
    <n v="0.02"/>
    <m/>
    <s v=""/>
    <s v="No reviews"/>
    <x v="2"/>
    <x v="2"/>
    <x v="0"/>
  </r>
  <r>
    <x v="94"/>
    <n v="248"/>
    <n v="486"/>
    <n v="238"/>
    <n v="0.49"/>
    <m/>
    <s v=""/>
    <s v="No reviews"/>
    <x v="2"/>
    <x v="1"/>
    <x v="2"/>
  </r>
  <r>
    <x v="95"/>
    <n v="3546"/>
    <n v="3699"/>
    <n v="153"/>
    <n v="0.04"/>
    <m/>
    <s v=""/>
    <s v="No reviews"/>
    <x v="2"/>
    <x v="2"/>
    <x v="3"/>
  </r>
  <r>
    <x v="96"/>
    <n v="525"/>
    <n v="1029"/>
    <n v="504"/>
    <n v="0.49"/>
    <m/>
    <s v=""/>
    <s v="No reviews"/>
    <x v="2"/>
    <x v="1"/>
    <x v="0"/>
  </r>
  <r>
    <x v="97"/>
    <n v="1080"/>
    <n v="1874"/>
    <n v="794"/>
    <n v="0.42"/>
    <m/>
    <s v=""/>
    <s v="No reviews"/>
    <x v="2"/>
    <x v="1"/>
    <x v="0"/>
  </r>
  <r>
    <x v="98"/>
    <n v="3640"/>
    <n v="4588"/>
    <n v="948"/>
    <n v="0.21"/>
    <n v="1"/>
    <n v="5"/>
    <s v="Low"/>
    <x v="0"/>
    <x v="0"/>
    <x v="3"/>
  </r>
  <r>
    <x v="99"/>
    <n v="1420"/>
    <n v="2420"/>
    <n v="1000"/>
    <n v="0.41"/>
    <m/>
    <s v=""/>
    <s v="No reviews"/>
    <x v="2"/>
    <x v="1"/>
    <x v="0"/>
  </r>
  <r>
    <x v="100"/>
    <n v="1875"/>
    <n v="1899"/>
    <n v="24"/>
    <n v="0.01"/>
    <m/>
    <s v=""/>
    <s v="No reviews"/>
    <x v="2"/>
    <x v="2"/>
    <x v="1"/>
  </r>
  <r>
    <x v="101"/>
    <n v="198"/>
    <n v="260"/>
    <n v="62"/>
    <n v="0.24"/>
    <m/>
    <s v=""/>
    <s v="No reviews"/>
    <x v="2"/>
    <x v="0"/>
    <x v="2"/>
  </r>
  <r>
    <x v="102"/>
    <n v="1150"/>
    <n v="1737"/>
    <n v="587"/>
    <n v="0.34"/>
    <m/>
    <s v=""/>
    <s v="No reviews"/>
    <x v="2"/>
    <x v="0"/>
    <x v="0"/>
  </r>
  <r>
    <x v="103"/>
    <n v="1190"/>
    <n v="1810"/>
    <n v="620"/>
    <n v="0.34"/>
    <m/>
    <s v=""/>
    <s v="No reviews"/>
    <x v="2"/>
    <x v="0"/>
    <x v="0"/>
  </r>
  <r>
    <x v="104"/>
    <n v="1658"/>
    <n v="1699"/>
    <n v="41"/>
    <n v="0.02"/>
    <m/>
    <s v=""/>
    <s v="No reviews"/>
    <x v="2"/>
    <x v="2"/>
    <x v="1"/>
  </r>
  <r>
    <x v="105"/>
    <n v="1768"/>
    <n v="1799"/>
    <n v="31"/>
    <n v="0.02"/>
    <m/>
    <s v=""/>
    <s v="No reviews"/>
    <x v="2"/>
    <x v="2"/>
    <x v="1"/>
  </r>
  <r>
    <x v="106"/>
    <n v="199"/>
    <n v="553"/>
    <n v="354"/>
    <n v="0.64"/>
    <m/>
    <s v=""/>
    <s v="No reviews"/>
    <x v="2"/>
    <x v="1"/>
    <x v="2"/>
  </r>
  <r>
    <x v="107"/>
    <n v="450"/>
    <n v="900"/>
    <n v="450"/>
    <n v="0.5"/>
    <n v="1"/>
    <n v="2"/>
    <s v="Low"/>
    <x v="3"/>
    <x v="1"/>
    <x v="2"/>
  </r>
  <r>
    <x v="108"/>
    <n v="169"/>
    <n v="320"/>
    <n v="151"/>
    <n v="0.47"/>
    <m/>
    <s v=""/>
    <s v="No reviews"/>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59601-50F4-4D4E-B2E6-F76705ECA082}"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showAll="0"/>
    <pivotField showAll="0"/>
    <pivotField showAll="0"/>
    <pivotField dataField="1" showAll="0"/>
    <pivotField showAll="0"/>
    <pivotField showAll="0">
      <items count="5">
        <item x="1"/>
        <item x="0"/>
        <item x="2"/>
        <item x="3"/>
        <item t="default"/>
      </items>
    </pivotField>
    <pivotField showAll="0">
      <items count="7">
        <item m="1" x="3"/>
        <item m="1" x="4"/>
        <item x="1"/>
        <item x="2"/>
        <item x="0"/>
        <item m="1" x="5"/>
        <item t="default"/>
      </items>
    </pivotField>
    <pivotField showAll="0"/>
  </pivotFields>
  <rowFields count="1">
    <field x="0"/>
  </rowFields>
  <rowItems count="11">
    <i>
      <x v="22"/>
    </i>
    <i>
      <x v="40"/>
    </i>
    <i>
      <x v="44"/>
    </i>
    <i>
      <x v="52"/>
    </i>
    <i>
      <x v="57"/>
    </i>
    <i>
      <x v="65"/>
    </i>
    <i>
      <x v="68"/>
    </i>
    <i>
      <x v="70"/>
    </i>
    <i>
      <x v="87"/>
    </i>
    <i>
      <x v="90"/>
    </i>
    <i t="grand">
      <x/>
    </i>
  </rowItems>
  <colItems count="1">
    <i/>
  </colItems>
  <dataFields count="1">
    <dataField name="Average of Rating" fld="6" subtotal="average"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290442-CADA-40F4-9CF5-73FEEE561944}"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showAll="0"/>
    <pivotField showAll="0"/>
    <pivotField dataField="1" showAll="0"/>
    <pivotField showAll="0"/>
    <pivotField showAll="0"/>
    <pivotField showAll="0">
      <items count="5">
        <item x="1"/>
        <item x="0"/>
        <item x="2"/>
        <item x="3"/>
        <item t="default"/>
      </items>
    </pivotField>
    <pivotField showAll="0">
      <items count="7">
        <item m="1" x="3"/>
        <item m="1" x="4"/>
        <item x="1"/>
        <item x="2"/>
        <item x="0"/>
        <item m="1" x="5"/>
        <item t="default"/>
      </items>
    </pivotField>
    <pivotField showAll="0"/>
  </pivotFields>
  <rowFields count="1">
    <field x="0"/>
  </rowFields>
  <rowItems count="11">
    <i>
      <x v="1"/>
    </i>
    <i>
      <x v="5"/>
    </i>
    <i>
      <x v="8"/>
    </i>
    <i>
      <x v="18"/>
    </i>
    <i>
      <x v="26"/>
    </i>
    <i>
      <x v="27"/>
    </i>
    <i>
      <x v="28"/>
    </i>
    <i>
      <x v="59"/>
    </i>
    <i>
      <x v="91"/>
    </i>
    <i>
      <x v="95"/>
    </i>
    <i t="grand">
      <x/>
    </i>
  </rowItems>
  <colItems count="1">
    <i/>
  </colItems>
  <dataFields count="1">
    <dataField name="Sum of Review"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B38468-9ECC-48E3-B79A-82D984C34E5E}"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showAll="0"/>
    <pivotField dataField="1" showAll="0"/>
    <pivotField showAll="0"/>
    <pivotField showAll="0"/>
    <pivotField showAll="0"/>
    <pivotField showAll="0">
      <items count="5">
        <item x="1"/>
        <item x="0"/>
        <item x="2"/>
        <item x="3"/>
        <item t="default"/>
      </items>
    </pivotField>
    <pivotField showAll="0">
      <items count="7">
        <item m="1" x="3"/>
        <item m="1" x="4"/>
        <item x="1"/>
        <item x="2"/>
        <item x="0"/>
        <item m="1" x="5"/>
        <item t="default"/>
      </items>
    </pivotField>
    <pivotField showAll="0"/>
  </pivotFields>
  <rowFields count="1">
    <field x="0"/>
  </rowFields>
  <rowItems count="11">
    <i>
      <x v="20"/>
    </i>
    <i>
      <x v="30"/>
    </i>
    <i>
      <x v="31"/>
    </i>
    <i>
      <x v="52"/>
    </i>
    <i>
      <x v="53"/>
    </i>
    <i>
      <x v="60"/>
    </i>
    <i>
      <x v="64"/>
    </i>
    <i>
      <x v="67"/>
    </i>
    <i>
      <x v="70"/>
    </i>
    <i>
      <x v="84"/>
    </i>
    <i t="grand">
      <x/>
    </i>
  </rowItems>
  <colItems count="1">
    <i/>
  </colItems>
  <dataFields count="1">
    <dataField name="Average of Discount" fld="4" subtotal="average" baseField="0" baseItem="0" numFmtId="9"/>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7BF118-1A84-4AFA-B216-A350C42C4E3F}"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1">
    <pivotField showAll="0"/>
    <pivotField showAll="0"/>
    <pivotField showAll="0"/>
    <pivotField showAll="0"/>
    <pivotField showAll="0"/>
    <pivotField dataField="1" showAll="0"/>
    <pivotField showAll="0"/>
    <pivotField showAll="0"/>
    <pivotField showAll="0">
      <items count="5">
        <item x="1"/>
        <item x="0"/>
        <item x="2"/>
        <item x="3"/>
        <item t="default"/>
      </items>
    </pivotField>
    <pivotField axis="axisRow" showAll="0">
      <items count="7">
        <item m="1" x="3"/>
        <item m="1" x="4"/>
        <item m="1" x="5"/>
        <item x="0"/>
        <item x="1"/>
        <item x="2"/>
        <item t="default"/>
      </items>
    </pivotField>
    <pivotField showAll="0"/>
  </pivotFields>
  <rowFields count="1">
    <field x="9"/>
  </rowFields>
  <rowItems count="4">
    <i>
      <x v="3"/>
    </i>
    <i>
      <x v="4"/>
    </i>
    <i>
      <x v="5"/>
    </i>
    <i t="grand">
      <x/>
    </i>
  </rowItems>
  <colItems count="1">
    <i/>
  </colItems>
  <dataFields count="1">
    <dataField name="Average of Review" fld="5" subtotal="average" baseField="4"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2BACEE-F246-4581-A632-9C0FABEEC4CD}"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1">
    <pivotField showAll="0"/>
    <pivotField showAll="0"/>
    <pivotField showAll="0"/>
    <pivotField showAll="0"/>
    <pivotField showAll="0"/>
    <pivotField dataField="1" showAll="0"/>
    <pivotField showAll="0"/>
    <pivotField showAll="0"/>
    <pivotField axis="axisRow" showAll="0">
      <items count="5">
        <item x="1"/>
        <item x="0"/>
        <item x="2"/>
        <item x="3"/>
        <item t="default"/>
      </items>
    </pivotField>
    <pivotField showAll="0"/>
    <pivotField showAll="0"/>
  </pivotFields>
  <rowFields count="1">
    <field x="8"/>
  </rowFields>
  <rowItems count="5">
    <i>
      <x/>
    </i>
    <i>
      <x v="1"/>
    </i>
    <i>
      <x v="2"/>
    </i>
    <i>
      <x v="3"/>
    </i>
    <i t="grand">
      <x/>
    </i>
  </rowItems>
  <colItems count="1">
    <i/>
  </colItems>
  <dataFields count="1">
    <dataField name="Average of Review" fld="5" subtotal="average" baseField="8"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B2D39A-03C7-452A-BBD8-D601E52839DF}"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1">
    <pivotField showAll="0"/>
    <pivotField showAll="0"/>
    <pivotField showAll="0"/>
    <pivotField showAll="0"/>
    <pivotField showAll="0"/>
    <pivotField showAll="0"/>
    <pivotField dataField="1" showAll="0"/>
    <pivotField showAll="0"/>
    <pivotField showAll="0">
      <items count="5">
        <item x="1"/>
        <item x="0"/>
        <item x="2"/>
        <item x="3"/>
        <item t="default"/>
      </items>
    </pivotField>
    <pivotField showAll="0">
      <items count="7">
        <item m="1" x="3"/>
        <item m="1" x="4"/>
        <item x="1"/>
        <item x="2"/>
        <item x="0"/>
        <item m="1" x="5"/>
        <item t="default"/>
      </items>
    </pivotField>
    <pivotField axis="axisRow" showAll="0">
      <items count="5">
        <item x="1"/>
        <item x="2"/>
        <item x="0"/>
        <item x="3"/>
        <item t="default"/>
      </items>
    </pivotField>
  </pivotFields>
  <rowFields count="1">
    <field x="10"/>
  </rowFields>
  <rowItems count="5">
    <i>
      <x/>
    </i>
    <i>
      <x v="1"/>
    </i>
    <i>
      <x v="2"/>
    </i>
    <i>
      <x v="3"/>
    </i>
    <i t="grand">
      <x/>
    </i>
  </rowItems>
  <colItems count="1">
    <i/>
  </colItems>
  <dataFields count="1">
    <dataField name="Average of Rating" fld="6" subtotal="average" baseField="10" baseItem="0" numFmtId="164"/>
  </dataFields>
  <chartFormats count="1">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9105CC-D054-4BD8-A93E-C3AB3684E36F}"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1">
    <pivotField dataField="1"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s>
  <rowFields count="1">
    <field x="8"/>
  </rowFields>
  <rowItems count="5">
    <i>
      <x/>
    </i>
    <i>
      <x v="1"/>
    </i>
    <i>
      <x v="2"/>
    </i>
    <i>
      <x v="3"/>
    </i>
    <i t="grand">
      <x/>
    </i>
  </rowItems>
  <colItems count="1">
    <i/>
  </colItems>
  <dataFields count="1">
    <dataField name="Count of Product" fld="0" subtotal="count" baseField="0" baseItem="0"/>
  </dataFields>
  <chartFormats count="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1"/>
          </reference>
        </references>
      </pivotArea>
    </chartFormat>
    <chartFormat chart="4" format="10">
      <pivotArea type="data" outline="0" fieldPosition="0">
        <references count="2">
          <reference field="4294967294" count="1" selected="0">
            <x v="0"/>
          </reference>
          <reference field="8" count="1" selected="0">
            <x v="2"/>
          </reference>
        </references>
      </pivotArea>
    </chartFormat>
    <chartFormat chart="4"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F01FCC-86EC-484F-A153-1653BD796D91}" name="PivotTable8"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1">
    <pivotField dataField="1" showAll="0"/>
    <pivotField showAll="0"/>
    <pivotField showAll="0"/>
    <pivotField showAll="0"/>
    <pivotField showAll="0"/>
    <pivotField showAll="0"/>
    <pivotField showAll="0"/>
    <pivotField showAll="0"/>
    <pivotField showAll="0">
      <items count="5">
        <item x="1"/>
        <item x="0"/>
        <item x="2"/>
        <item x="3"/>
        <item t="default"/>
      </items>
    </pivotField>
    <pivotField axis="axisRow" showAll="0">
      <items count="7">
        <item m="1" x="3"/>
        <item m="1" x="4"/>
        <item m="1" x="5"/>
        <item x="0"/>
        <item x="1"/>
        <item x="2"/>
        <item t="default"/>
      </items>
    </pivotField>
    <pivotField showAll="0">
      <items count="5">
        <item x="1"/>
        <item x="2"/>
        <item x="0"/>
        <item x="3"/>
        <item t="default"/>
      </items>
    </pivotField>
  </pivotFields>
  <rowFields count="1">
    <field x="9"/>
  </rowFields>
  <rowItems count="4">
    <i>
      <x v="3"/>
    </i>
    <i>
      <x v="4"/>
    </i>
    <i>
      <x v="5"/>
    </i>
    <i t="grand">
      <x/>
    </i>
  </rowItems>
  <colItems count="1">
    <i/>
  </colItems>
  <dataFields count="1">
    <dataField name="Count of Product"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2FCA7D2C-FCA4-4EA5-897A-3C74BDC77279}" sourceName="Rating_category">
  <pivotTables>
    <pivotTable tabId="18" name="PivotTable8"/>
    <pivotTable tabId="14" name="PivotTable4"/>
    <pivotTable tabId="16" name="PivotTable6"/>
    <pivotTable tabId="17" name="PivotTable7"/>
    <pivotTable tabId="15" name="PivotTable5"/>
    <pivotTable tabId="13" name="PivotTable3"/>
    <pivotTable tabId="11" name="PivotTable1"/>
    <pivotTable tabId="12" name="PivotTable2"/>
  </pivotTables>
  <data>
    <tabular pivotCacheId="762927664">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ategory" xr10:uid="{F2181FE8-E980-4272-B3D6-254675C9CFD1}" sourceName="Discount_caategory">
  <pivotTables>
    <pivotTable tabId="18" name="PivotTable8"/>
    <pivotTable tabId="14" name="PivotTable4"/>
    <pivotTable tabId="16" name="PivotTable6"/>
    <pivotTable tabId="13" name="PivotTable3"/>
    <pivotTable tabId="11" name="PivotTable1"/>
    <pivotTable tabId="12" name="PivotTable2"/>
  </pivotTables>
  <data>
    <tabular pivotCacheId="762927664">
      <items count="6">
        <i x="1" s="1"/>
        <i x="2" s="1"/>
        <i x="0" s="1"/>
        <i x="3" s="1" nd="1"/>
        <i x="4"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4D571303-C7A8-4154-86F9-D56AB4C506B6}" sourceName="price_category">
  <pivotTables>
    <pivotTable tabId="18" name="PivotTable8"/>
  </pivotTables>
  <data>
    <tabular pivotCacheId="76292766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_category" xr10:uid="{C0BCEE73-B367-49B6-BCA2-6A08A640B8DB}" cache="Slicer_Rating_category" caption="Rating_category" rowHeight="257175"/>
  <slicer name="Discount_caategory" xr10:uid="{8E1151DE-0ACE-418D-9703-FF1B49B04E8A}" cache="Slicer_Discount_caategory" caption="Discount_caategory" rowHeight="257175"/>
  <slicer name="price_category" xr10:uid="{3230C9FF-0D9C-4ED7-94A2-63639F8E24E9}" cache="Slicer_price_category" caption="price_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E9E15F-F8A5-4E79-B795-6E8D07B7BA13}" name="tblCleaned" displayName="tblCleaned" ref="A1:K113" totalsRowShown="0" headerRowDxfId="2" tableBorderDxfId="11">
  <autoFilter ref="A1:K113" xr:uid="{74E9E15F-F8A5-4E79-B795-6E8D07B7BA13}"/>
  <tableColumns count="11">
    <tableColumn id="1" xr3:uid="{45FCE6B7-25BC-40FE-8119-4F78DE088D8E}" name="Product" dataDxfId="10"/>
    <tableColumn id="2" xr3:uid="{EE3FA0FE-EAE9-40D0-95FF-8565F225CA77}" name="Current price" dataDxfId="9"/>
    <tableColumn id="3" xr3:uid="{D9E15A56-CD65-4CB8-B5AB-2602163985AD}" name="Old prices" dataDxfId="8"/>
    <tableColumn id="4" xr3:uid="{4EC6E0FD-033E-4AEA-B0D2-387D2A63E123}" name="Discount_price" dataDxfId="7"/>
    <tableColumn id="5" xr3:uid="{462AB8D2-9EBE-4A56-BAB9-4EC23F23FDA7}" name="Discount" dataDxfId="6"/>
    <tableColumn id="6" xr3:uid="{D550AF71-D4DE-4C86-BD53-804529162E71}" name="Review" dataDxfId="5"/>
    <tableColumn id="7" xr3:uid="{F27EEF7D-548F-43D5-84A6-4F12BBD30BD5}" name="Rating" dataDxfId="4"/>
    <tableColumn id="8" xr3:uid="{750F544B-7554-4738-82EA-E682D87188D6}" name="Review_Category" dataDxfId="3">
      <calculatedColumnFormula>IF(F2="","No reviews",IF(F2&gt;=20,"High",IF(F2&gt;=5,"Medium","Low")))</calculatedColumnFormula>
    </tableColumn>
    <tableColumn id="9" xr3:uid="{08E0D1E7-13F2-44FC-B85E-5C90A9476818}" name="Rating_category" dataDxfId="1">
      <calculatedColumnFormula>IF(G2="","Not Rated",IF(G2&lt;3,"Poor",IF(G2&lt;4,"Average","Excellent")))</calculatedColumnFormula>
    </tableColumn>
    <tableColumn id="10" xr3:uid="{6B220A66-BA1C-4A3E-84E2-219DB2F818A8}" name="Discount_caategory" dataDxfId="0">
      <calculatedColumnFormula>IF(E2&lt;0.2,"Low Discount",IF(E2&lt;0.4,"Medium Discount","High Discount"))</calculatedColumnFormula>
    </tableColumn>
    <tableColumn id="11" xr3:uid="{60F4B3C2-7035-436E-AAF2-E7D2B4E33194}" name="price_category">
      <calculatedColumnFormula>IF(B2&lt;500,"Low",IF(B2&lt;1500,"Medium",IF(B2&lt;3000,"High","Premium")))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D7C0-1970-4F45-9EB6-4008E547D4D3}">
  <dimension ref="A1"/>
  <sheetViews>
    <sheetView workbookViewId="0">
      <selection activeCell="B7" sqref="B7:B8"/>
    </sheetView>
  </sheetViews>
  <sheetFormatPr defaultRowHeight="15" x14ac:dyDescent="0.25"/>
  <cols>
    <col min="1" max="16384" width="9.1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9AE3-0333-4A5E-957F-F78AD9CA8A62}">
  <dimension ref="A1:F116"/>
  <sheetViews>
    <sheetView workbookViewId="0">
      <selection activeCell="H10" sqref="H10"/>
    </sheetView>
  </sheetViews>
  <sheetFormatPr defaultRowHeight="15" x14ac:dyDescent="0.25"/>
  <cols>
    <col min="1" max="1" width="95" bestFit="1" customWidth="1"/>
    <col min="2" max="3" width="19.42578125" bestFit="1" customWidth="1"/>
    <col min="4" max="4" width="8.85546875" bestFit="1" customWidth="1"/>
    <col min="5" max="5" width="7" bestFit="1" customWidth="1"/>
    <col min="6" max="6" width="10.42578125" bestFit="1" customWidth="1"/>
  </cols>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2B7E1-2488-4D9D-9F1A-27A19589C6D7}">
  <dimension ref="A3:B14"/>
  <sheetViews>
    <sheetView workbookViewId="0">
      <selection activeCell="B34" sqref="B34"/>
    </sheetView>
  </sheetViews>
  <sheetFormatPr defaultRowHeight="15" x14ac:dyDescent="0.25"/>
  <cols>
    <col min="1" max="1" width="68.5703125" bestFit="1" customWidth="1"/>
    <col min="2" max="2" width="16.7109375" bestFit="1" customWidth="1"/>
  </cols>
  <sheetData>
    <row r="3" spans="1:2" x14ac:dyDescent="0.25">
      <c r="A3" s="16" t="s">
        <v>358</v>
      </c>
      <c r="B3" t="s">
        <v>360</v>
      </c>
    </row>
    <row r="4" spans="1:2" x14ac:dyDescent="0.25">
      <c r="A4" s="17" t="s">
        <v>47</v>
      </c>
      <c r="B4" s="19">
        <v>4.8</v>
      </c>
    </row>
    <row r="5" spans="1:2" x14ac:dyDescent="0.25">
      <c r="A5" s="17" t="s">
        <v>56</v>
      </c>
      <c r="B5" s="19">
        <v>5</v>
      </c>
    </row>
    <row r="6" spans="1:2" x14ac:dyDescent="0.25">
      <c r="A6" s="17" t="s">
        <v>245</v>
      </c>
      <c r="B6" s="19">
        <v>5</v>
      </c>
    </row>
    <row r="7" spans="1:2" x14ac:dyDescent="0.25">
      <c r="A7" s="17" t="s">
        <v>120</v>
      </c>
      <c r="B7" s="19">
        <v>5</v>
      </c>
    </row>
    <row r="8" spans="1:2" x14ac:dyDescent="0.25">
      <c r="A8" s="17" t="s">
        <v>117</v>
      </c>
      <c r="B8" s="19">
        <v>5</v>
      </c>
    </row>
    <row r="9" spans="1:2" x14ac:dyDescent="0.25">
      <c r="A9" s="17" t="s">
        <v>295</v>
      </c>
      <c r="B9" s="19">
        <v>5</v>
      </c>
    </row>
    <row r="10" spans="1:2" x14ac:dyDescent="0.25">
      <c r="A10" s="17" t="s">
        <v>63</v>
      </c>
      <c r="B10" s="19">
        <v>5</v>
      </c>
    </row>
    <row r="11" spans="1:2" x14ac:dyDescent="0.25">
      <c r="A11" s="17" t="s">
        <v>35</v>
      </c>
      <c r="B11" s="19">
        <v>4.8</v>
      </c>
    </row>
    <row r="12" spans="1:2" x14ac:dyDescent="0.25">
      <c r="A12" s="17" t="s">
        <v>60</v>
      </c>
      <c r="B12" s="19">
        <v>5</v>
      </c>
    </row>
    <row r="13" spans="1:2" x14ac:dyDescent="0.25">
      <c r="A13" s="17" t="s">
        <v>22</v>
      </c>
      <c r="B13" s="19">
        <v>4.8</v>
      </c>
    </row>
    <row r="14" spans="1:2" x14ac:dyDescent="0.25">
      <c r="A14" s="17" t="s">
        <v>359</v>
      </c>
      <c r="B14" s="19">
        <v>4.9399999999999995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F356A-D417-4E38-8089-039D1BE2964E}">
  <dimension ref="A3:B14"/>
  <sheetViews>
    <sheetView workbookViewId="0">
      <selection activeCell="M26" sqref="M26"/>
    </sheetView>
  </sheetViews>
  <sheetFormatPr defaultRowHeight="15" x14ac:dyDescent="0.25"/>
  <cols>
    <col min="1" max="1" width="65.140625" bestFit="1" customWidth="1"/>
    <col min="2" max="2" width="14.42578125" bestFit="1" customWidth="1"/>
  </cols>
  <sheetData>
    <row r="3" spans="1:2" x14ac:dyDescent="0.25">
      <c r="A3" s="16" t="s">
        <v>358</v>
      </c>
      <c r="B3" t="s">
        <v>361</v>
      </c>
    </row>
    <row r="4" spans="1:2" x14ac:dyDescent="0.25">
      <c r="A4" s="17" t="s">
        <v>44</v>
      </c>
      <c r="B4" s="18">
        <v>39</v>
      </c>
    </row>
    <row r="5" spans="1:2" x14ac:dyDescent="0.25">
      <c r="A5" s="17" t="s">
        <v>194</v>
      </c>
      <c r="B5" s="18">
        <v>69</v>
      </c>
    </row>
    <row r="6" spans="1:2" x14ac:dyDescent="0.25">
      <c r="A6" s="17" t="s">
        <v>30</v>
      </c>
      <c r="B6" s="18">
        <v>55</v>
      </c>
    </row>
    <row r="7" spans="1:2" x14ac:dyDescent="0.25">
      <c r="A7" s="17" t="s">
        <v>68</v>
      </c>
      <c r="B7" s="18">
        <v>44</v>
      </c>
    </row>
    <row r="8" spans="1:2" x14ac:dyDescent="0.25">
      <c r="A8" s="17" t="s">
        <v>97</v>
      </c>
      <c r="B8" s="18">
        <v>20</v>
      </c>
    </row>
    <row r="9" spans="1:2" x14ac:dyDescent="0.25">
      <c r="A9" s="17" t="s">
        <v>114</v>
      </c>
      <c r="B9" s="18">
        <v>32</v>
      </c>
    </row>
    <row r="10" spans="1:2" x14ac:dyDescent="0.25">
      <c r="A10" s="17" t="s">
        <v>111</v>
      </c>
      <c r="B10" s="18">
        <v>20</v>
      </c>
    </row>
    <row r="11" spans="1:2" x14ac:dyDescent="0.25">
      <c r="A11" s="17" t="s">
        <v>89</v>
      </c>
      <c r="B11" s="18">
        <v>49</v>
      </c>
    </row>
    <row r="12" spans="1:2" x14ac:dyDescent="0.25">
      <c r="A12" s="17" t="s">
        <v>14</v>
      </c>
      <c r="B12" s="18">
        <v>24</v>
      </c>
    </row>
    <row r="13" spans="1:2" x14ac:dyDescent="0.25">
      <c r="A13" s="17" t="s">
        <v>122</v>
      </c>
      <c r="B13" s="18">
        <v>36</v>
      </c>
    </row>
    <row r="14" spans="1:2" x14ac:dyDescent="0.25">
      <c r="A14" s="17" t="s">
        <v>359</v>
      </c>
      <c r="B14" s="18">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B011-8D01-415E-B0C6-A45033901B0D}">
  <dimension ref="A3:B14"/>
  <sheetViews>
    <sheetView workbookViewId="0">
      <selection activeCell="A3" sqref="A3"/>
    </sheetView>
  </sheetViews>
  <sheetFormatPr defaultRowHeight="15" x14ac:dyDescent="0.25"/>
  <cols>
    <col min="1" max="1" width="72.28515625" bestFit="1" customWidth="1"/>
    <col min="2" max="2" width="19.28515625" bestFit="1" customWidth="1"/>
  </cols>
  <sheetData>
    <row r="3" spans="1:2" x14ac:dyDescent="0.25">
      <c r="A3" s="16" t="s">
        <v>358</v>
      </c>
      <c r="B3" t="s">
        <v>362</v>
      </c>
    </row>
    <row r="4" spans="1:2" x14ac:dyDescent="0.25">
      <c r="A4" s="17" t="s">
        <v>71</v>
      </c>
      <c r="B4" s="1">
        <v>0.53</v>
      </c>
    </row>
    <row r="5" spans="1:2" x14ac:dyDescent="0.25">
      <c r="A5" s="17" t="s">
        <v>190</v>
      </c>
      <c r="B5" s="1">
        <v>0.55000000000000004</v>
      </c>
    </row>
    <row r="6" spans="1:2" x14ac:dyDescent="0.25">
      <c r="A6" s="17" t="s">
        <v>316</v>
      </c>
      <c r="B6" s="1">
        <v>0.64</v>
      </c>
    </row>
    <row r="7" spans="1:2" x14ac:dyDescent="0.25">
      <c r="A7" s="17" t="s">
        <v>120</v>
      </c>
      <c r="B7" s="1">
        <v>0.53</v>
      </c>
    </row>
    <row r="8" spans="1:2" x14ac:dyDescent="0.25">
      <c r="A8" s="17" t="s">
        <v>154</v>
      </c>
      <c r="B8" s="1">
        <v>0.55000000000000004</v>
      </c>
    </row>
    <row r="9" spans="1:2" x14ac:dyDescent="0.25">
      <c r="A9" s="17" t="s">
        <v>102</v>
      </c>
      <c r="B9" s="1">
        <v>0.52</v>
      </c>
    </row>
    <row r="10" spans="1:2" x14ac:dyDescent="0.25">
      <c r="A10" s="17" t="s">
        <v>198</v>
      </c>
      <c r="B10" s="1">
        <v>0.52</v>
      </c>
    </row>
    <row r="11" spans="1:2" x14ac:dyDescent="0.25">
      <c r="A11" s="17" t="s">
        <v>85</v>
      </c>
      <c r="B11" s="1">
        <v>0.54</v>
      </c>
    </row>
    <row r="12" spans="1:2" x14ac:dyDescent="0.25">
      <c r="A12" s="17" t="s">
        <v>35</v>
      </c>
      <c r="B12" s="1">
        <v>0.55000000000000004</v>
      </c>
    </row>
    <row r="13" spans="1:2" x14ac:dyDescent="0.25">
      <c r="A13" s="17" t="s">
        <v>186</v>
      </c>
      <c r="B13" s="1">
        <v>0.54</v>
      </c>
    </row>
    <row r="14" spans="1:2" x14ac:dyDescent="0.25">
      <c r="A14" s="17" t="s">
        <v>359</v>
      </c>
      <c r="B14" s="1">
        <v>0.54727272727272724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8E0D-4761-4EBA-82F7-C2AE4E06CC8A}">
  <dimension ref="A3:B7"/>
  <sheetViews>
    <sheetView workbookViewId="0">
      <selection activeCell="K20" sqref="K20"/>
    </sheetView>
  </sheetViews>
  <sheetFormatPr defaultRowHeight="15" x14ac:dyDescent="0.25"/>
  <cols>
    <col min="1" max="1" width="16.5703125" bestFit="1" customWidth="1"/>
    <col min="2" max="2" width="17.7109375" bestFit="1" customWidth="1"/>
  </cols>
  <sheetData>
    <row r="3" spans="1:2" x14ac:dyDescent="0.25">
      <c r="A3" s="16" t="s">
        <v>358</v>
      </c>
      <c r="B3" t="s">
        <v>363</v>
      </c>
    </row>
    <row r="4" spans="1:2" x14ac:dyDescent="0.25">
      <c r="A4" s="17" t="s">
        <v>374</v>
      </c>
      <c r="B4" s="19">
        <v>15.909090909090908</v>
      </c>
    </row>
    <row r="5" spans="1:2" x14ac:dyDescent="0.25">
      <c r="A5" s="17" t="s">
        <v>375</v>
      </c>
      <c r="B5" s="19">
        <v>10.806451612903226</v>
      </c>
    </row>
    <row r="6" spans="1:2" x14ac:dyDescent="0.25">
      <c r="A6" s="17" t="s">
        <v>376</v>
      </c>
      <c r="B6" s="19">
        <v>9.5</v>
      </c>
    </row>
    <row r="7" spans="1:2" x14ac:dyDescent="0.25">
      <c r="A7" s="17" t="s">
        <v>359</v>
      </c>
      <c r="B7" s="19">
        <v>12.684210526315789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767C-9E7D-445D-916F-DBBBD75FC15B}">
  <dimension ref="A3:B8"/>
  <sheetViews>
    <sheetView workbookViewId="0">
      <selection activeCell="A3" sqref="A3"/>
    </sheetView>
  </sheetViews>
  <sheetFormatPr defaultRowHeight="15" x14ac:dyDescent="0.25"/>
  <cols>
    <col min="1" max="1" width="13.42578125" bestFit="1" customWidth="1"/>
    <col min="2" max="2" width="17.7109375" bestFit="1" customWidth="1"/>
  </cols>
  <sheetData>
    <row r="3" spans="1:2" x14ac:dyDescent="0.25">
      <c r="A3" s="16" t="s">
        <v>358</v>
      </c>
      <c r="B3" t="s">
        <v>363</v>
      </c>
    </row>
    <row r="4" spans="1:2" x14ac:dyDescent="0.25">
      <c r="A4" s="17" t="s">
        <v>364</v>
      </c>
      <c r="B4" s="19">
        <v>7.666666666666667</v>
      </c>
    </row>
    <row r="5" spans="1:2" x14ac:dyDescent="0.25">
      <c r="A5" s="17" t="s">
        <v>365</v>
      </c>
      <c r="B5" s="19">
        <v>13.472222222222221</v>
      </c>
    </row>
    <row r="6" spans="1:2" x14ac:dyDescent="0.25">
      <c r="A6" s="17" t="s">
        <v>366</v>
      </c>
      <c r="B6" s="19"/>
    </row>
    <row r="7" spans="1:2" x14ac:dyDescent="0.25">
      <c r="A7" s="17" t="s">
        <v>367</v>
      </c>
      <c r="B7" s="19">
        <v>14.083333333333334</v>
      </c>
    </row>
    <row r="8" spans="1:2" x14ac:dyDescent="0.25">
      <c r="A8" s="17" t="s">
        <v>359</v>
      </c>
      <c r="B8" s="19">
        <v>12.684210526315789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EFFF-7497-4E63-B6BE-A128ECBF96C1}">
  <dimension ref="A3:B8"/>
  <sheetViews>
    <sheetView workbookViewId="0">
      <selection activeCell="J28" sqref="J28"/>
    </sheetView>
  </sheetViews>
  <sheetFormatPr defaultRowHeight="15" x14ac:dyDescent="0.25"/>
  <cols>
    <col min="1" max="1" width="13.42578125" bestFit="1" customWidth="1"/>
    <col min="2" max="2" width="16.7109375" bestFit="1" customWidth="1"/>
  </cols>
  <sheetData>
    <row r="3" spans="1:2" x14ac:dyDescent="0.25">
      <c r="A3" s="16" t="s">
        <v>358</v>
      </c>
      <c r="B3" t="s">
        <v>360</v>
      </c>
    </row>
    <row r="4" spans="1:2" x14ac:dyDescent="0.25">
      <c r="A4" s="17" t="s">
        <v>368</v>
      </c>
      <c r="B4" s="19">
        <v>4.1130434782608685</v>
      </c>
    </row>
    <row r="5" spans="1:2" x14ac:dyDescent="0.25">
      <c r="A5" s="17" t="s">
        <v>369</v>
      </c>
      <c r="B5" s="19">
        <v>3.5307692307692307</v>
      </c>
    </row>
    <row r="6" spans="1:2" x14ac:dyDescent="0.25">
      <c r="A6" s="17" t="s">
        <v>370</v>
      </c>
      <c r="B6" s="19">
        <v>3.8526315789473684</v>
      </c>
    </row>
    <row r="7" spans="1:2" x14ac:dyDescent="0.25">
      <c r="A7" s="17" t="s">
        <v>371</v>
      </c>
      <c r="B7" s="19">
        <v>4</v>
      </c>
    </row>
    <row r="8" spans="1:2" x14ac:dyDescent="0.25">
      <c r="A8" s="17" t="s">
        <v>359</v>
      </c>
      <c r="B8" s="19">
        <v>3.8894736842105258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69DA0-BA15-4D42-80C7-3D6BF6ABA3E5}">
  <dimension ref="A3:B8"/>
  <sheetViews>
    <sheetView workbookViewId="0">
      <selection activeCell="U18" sqref="U18"/>
    </sheetView>
  </sheetViews>
  <sheetFormatPr defaultRowHeight="15" x14ac:dyDescent="0.25"/>
  <cols>
    <col min="1" max="1" width="13.42578125" bestFit="1" customWidth="1"/>
    <col min="2" max="2" width="16.42578125" bestFit="1" customWidth="1"/>
  </cols>
  <sheetData>
    <row r="3" spans="1:2" x14ac:dyDescent="0.25">
      <c r="A3" s="16" t="s">
        <v>358</v>
      </c>
      <c r="B3" t="s">
        <v>372</v>
      </c>
    </row>
    <row r="4" spans="1:2" x14ac:dyDescent="0.25">
      <c r="A4" s="17" t="s">
        <v>364</v>
      </c>
      <c r="B4" s="18">
        <v>9</v>
      </c>
    </row>
    <row r="5" spans="1:2" x14ac:dyDescent="0.25">
      <c r="A5" s="17" t="s">
        <v>365</v>
      </c>
      <c r="B5" s="18">
        <v>36</v>
      </c>
    </row>
    <row r="6" spans="1:2" x14ac:dyDescent="0.25">
      <c r="A6" s="17" t="s">
        <v>366</v>
      </c>
      <c r="B6" s="18">
        <v>55</v>
      </c>
    </row>
    <row r="7" spans="1:2" x14ac:dyDescent="0.25">
      <c r="A7" s="17" t="s">
        <v>367</v>
      </c>
      <c r="B7" s="18">
        <v>12</v>
      </c>
    </row>
    <row r="8" spans="1:2" x14ac:dyDescent="0.25">
      <c r="A8" s="17" t="s">
        <v>359</v>
      </c>
      <c r="B8" s="18">
        <v>112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B9EC9-EB06-4315-B9F0-549488B56719}">
  <dimension ref="A3:B7"/>
  <sheetViews>
    <sheetView workbookViewId="0">
      <selection activeCell="M26" sqref="M26"/>
    </sheetView>
  </sheetViews>
  <sheetFormatPr defaultRowHeight="15" x14ac:dyDescent="0.25"/>
  <cols>
    <col min="1" max="1" width="16.5703125" bestFit="1" customWidth="1"/>
    <col min="2" max="2" width="16.42578125" bestFit="1" customWidth="1"/>
  </cols>
  <sheetData>
    <row r="3" spans="1:2" x14ac:dyDescent="0.25">
      <c r="A3" s="16" t="s">
        <v>358</v>
      </c>
      <c r="B3" t="s">
        <v>372</v>
      </c>
    </row>
    <row r="4" spans="1:2" x14ac:dyDescent="0.25">
      <c r="A4" s="17" t="s">
        <v>374</v>
      </c>
      <c r="B4" s="18">
        <v>31</v>
      </c>
    </row>
    <row r="5" spans="1:2" x14ac:dyDescent="0.25">
      <c r="A5" s="17" t="s">
        <v>375</v>
      </c>
      <c r="B5" s="18">
        <v>63</v>
      </c>
    </row>
    <row r="6" spans="1:2" x14ac:dyDescent="0.25">
      <c r="A6" s="17" t="s">
        <v>376</v>
      </c>
      <c r="B6" s="18">
        <v>18</v>
      </c>
    </row>
    <row r="7" spans="1:2" x14ac:dyDescent="0.25">
      <c r="A7" s="17" t="s">
        <v>359</v>
      </c>
      <c r="B7" s="18">
        <v>112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C53EC-8445-4704-9AB8-448CFFA07539}">
  <dimension ref="A1:K113"/>
  <sheetViews>
    <sheetView tabSelected="1" workbookViewId="0">
      <selection activeCell="J3" sqref="J3"/>
    </sheetView>
  </sheetViews>
  <sheetFormatPr defaultRowHeight="15" x14ac:dyDescent="0.25"/>
  <cols>
    <col min="1" max="1" width="95" bestFit="1" customWidth="1"/>
    <col min="2" max="4" width="19.42578125" customWidth="1"/>
    <col min="5" max="5" width="11.28515625" customWidth="1"/>
    <col min="6" max="6" width="9.7109375" customWidth="1"/>
    <col min="8" max="8" width="18.7109375" customWidth="1"/>
    <col min="9" max="9" width="17.42578125" customWidth="1"/>
    <col min="10" max="10" width="20.85546875" customWidth="1"/>
    <col min="11" max="11" width="16.28515625" customWidth="1"/>
  </cols>
  <sheetData>
    <row r="1" spans="1:11" x14ac:dyDescent="0.25">
      <c r="A1" s="10" t="s">
        <v>0</v>
      </c>
      <c r="B1" s="10" t="s">
        <v>1</v>
      </c>
      <c r="C1" s="10" t="s">
        <v>326</v>
      </c>
      <c r="D1" s="10" t="s">
        <v>325</v>
      </c>
      <c r="E1" s="10" t="s">
        <v>3</v>
      </c>
      <c r="F1" s="10" t="s">
        <v>4</v>
      </c>
      <c r="G1" s="10" t="s">
        <v>324</v>
      </c>
      <c r="H1" s="10" t="s">
        <v>328</v>
      </c>
      <c r="I1" s="10" t="s">
        <v>327</v>
      </c>
      <c r="J1" s="11" t="s">
        <v>329</v>
      </c>
      <c r="K1" s="15" t="s">
        <v>357</v>
      </c>
    </row>
    <row r="2" spans="1:11" x14ac:dyDescent="0.25">
      <c r="A2" s="12" t="s">
        <v>6</v>
      </c>
      <c r="B2" s="12">
        <v>950</v>
      </c>
      <c r="C2" s="12">
        <v>1525</v>
      </c>
      <c r="D2" s="12">
        <v>575</v>
      </c>
      <c r="E2" s="12">
        <v>0.38</v>
      </c>
      <c r="F2" s="12">
        <v>2</v>
      </c>
      <c r="G2" s="12">
        <v>4.5</v>
      </c>
      <c r="H2" s="12" t="str">
        <f>IF(F2="","No reviews",IF(F2&gt;=20,"High",IF(F2&gt;=5,"Medium","Low")))</f>
        <v>Low</v>
      </c>
      <c r="I2" s="12" t="str">
        <f t="shared" ref="I2:I65" si="0">IF(G2="","Not Rated",IF(G2&lt;3,"Poor",IF(G2&lt;4,"Average","Excellent")))</f>
        <v>Excellent</v>
      </c>
      <c r="J2" s="13" t="str">
        <f>IF(E2&lt;0.2,"Low Discount",IF(E2&lt;0.4,"Medium Discount","High Discount"))</f>
        <v>Medium Discount</v>
      </c>
      <c r="K2" t="str">
        <f>IF(B2&lt;500,"Low",IF(B2&lt;1500,"Medium",IF(B2&lt;3000,"High","Premium")))</f>
        <v>Medium</v>
      </c>
    </row>
    <row r="3" spans="1:11" x14ac:dyDescent="0.25">
      <c r="A3" s="14" t="s">
        <v>10</v>
      </c>
      <c r="B3" s="14">
        <v>527</v>
      </c>
      <c r="C3" s="14">
        <v>999</v>
      </c>
      <c r="D3" s="14">
        <v>472</v>
      </c>
      <c r="E3" s="14">
        <v>0.47</v>
      </c>
      <c r="F3" s="14">
        <v>14</v>
      </c>
      <c r="G3" s="14">
        <v>4.0999999999999996</v>
      </c>
      <c r="H3" s="12" t="str">
        <f t="shared" ref="H3:H66" si="1">IF(F3="","No reviews",IF(F3&gt;=20,"High",IF(F3&gt;=5,"Medium","Low")))</f>
        <v>Medium</v>
      </c>
      <c r="I3" s="12" t="str">
        <f t="shared" si="0"/>
        <v>Excellent</v>
      </c>
      <c r="J3" s="13" t="str">
        <f t="shared" ref="J2:J33" si="2">IF(E3&lt;0.2,"Low Discount",IF(E3&lt;0.4,"Medium Discount","High Discount"))</f>
        <v>High Discount</v>
      </c>
      <c r="K3" t="str">
        <f t="shared" ref="K3:K66" si="3">IF(B3&lt;500,"Low",IF(B3&lt;1500,"Medium",IF(B3&lt;3000,"High","Premium")))</f>
        <v>Medium</v>
      </c>
    </row>
    <row r="4" spans="1:11" x14ac:dyDescent="0.25">
      <c r="A4" s="12" t="s">
        <v>14</v>
      </c>
      <c r="B4" s="12">
        <v>2199</v>
      </c>
      <c r="C4" s="12">
        <v>2923</v>
      </c>
      <c r="D4" s="12">
        <v>724</v>
      </c>
      <c r="E4" s="12">
        <v>0.25</v>
      </c>
      <c r="F4" s="12">
        <v>24</v>
      </c>
      <c r="G4" s="12">
        <v>4.5999999999999996</v>
      </c>
      <c r="H4" s="12" t="str">
        <f t="shared" si="1"/>
        <v>High</v>
      </c>
      <c r="I4" s="12" t="str">
        <f t="shared" si="0"/>
        <v>Excellent</v>
      </c>
      <c r="J4" s="13" t="str">
        <f t="shared" si="2"/>
        <v>Medium Discount</v>
      </c>
      <c r="K4" t="str">
        <f t="shared" si="3"/>
        <v>High</v>
      </c>
    </row>
    <row r="5" spans="1:11" x14ac:dyDescent="0.25">
      <c r="A5" s="14" t="s">
        <v>18</v>
      </c>
      <c r="B5" s="14">
        <v>1580</v>
      </c>
      <c r="C5" s="14">
        <v>2499</v>
      </c>
      <c r="D5" s="14">
        <v>919</v>
      </c>
      <c r="E5" s="14">
        <v>0.37</v>
      </c>
      <c r="F5" s="14">
        <v>7</v>
      </c>
      <c r="G5" s="14">
        <v>4.7</v>
      </c>
      <c r="H5" s="12" t="str">
        <f t="shared" si="1"/>
        <v>Medium</v>
      </c>
      <c r="I5" s="12" t="str">
        <f t="shared" si="0"/>
        <v>Excellent</v>
      </c>
      <c r="J5" s="13" t="str">
        <f t="shared" si="2"/>
        <v>Medium Discount</v>
      </c>
      <c r="K5" t="str">
        <f t="shared" si="3"/>
        <v>High</v>
      </c>
    </row>
    <row r="6" spans="1:11" x14ac:dyDescent="0.25">
      <c r="A6" s="12" t="s">
        <v>22</v>
      </c>
      <c r="B6" s="12">
        <v>1740</v>
      </c>
      <c r="C6" s="12">
        <v>2356</v>
      </c>
      <c r="D6" s="12">
        <v>616</v>
      </c>
      <c r="E6" s="12">
        <v>0.26</v>
      </c>
      <c r="F6" s="12">
        <v>5</v>
      </c>
      <c r="G6" s="12">
        <v>4.8</v>
      </c>
      <c r="H6" s="12" t="str">
        <f t="shared" si="1"/>
        <v>Medium</v>
      </c>
      <c r="I6" s="12" t="str">
        <f t="shared" si="0"/>
        <v>Excellent</v>
      </c>
      <c r="J6" s="13" t="str">
        <f t="shared" si="2"/>
        <v>Medium Discount</v>
      </c>
      <c r="K6" t="str">
        <f t="shared" si="3"/>
        <v>High</v>
      </c>
    </row>
    <row r="7" spans="1:11" x14ac:dyDescent="0.25">
      <c r="A7" s="14" t="s">
        <v>26</v>
      </c>
      <c r="B7" s="14">
        <v>2999</v>
      </c>
      <c r="C7" s="14">
        <v>3290</v>
      </c>
      <c r="D7" s="14">
        <v>291</v>
      </c>
      <c r="E7" s="14">
        <v>0.09</v>
      </c>
      <c r="F7" s="14">
        <v>15</v>
      </c>
      <c r="G7" s="14">
        <v>4</v>
      </c>
      <c r="H7" s="12" t="str">
        <f t="shared" si="1"/>
        <v>Medium</v>
      </c>
      <c r="I7" s="12" t="str">
        <f t="shared" si="0"/>
        <v>Excellent</v>
      </c>
      <c r="J7" s="13" t="str">
        <f t="shared" si="2"/>
        <v>Low Discount</v>
      </c>
      <c r="K7" t="str">
        <f t="shared" si="3"/>
        <v>High</v>
      </c>
    </row>
    <row r="8" spans="1:11" x14ac:dyDescent="0.25">
      <c r="A8" s="12" t="s">
        <v>30</v>
      </c>
      <c r="B8" s="12">
        <v>2319</v>
      </c>
      <c r="C8" s="12">
        <v>3032</v>
      </c>
      <c r="D8" s="12">
        <v>713</v>
      </c>
      <c r="E8" s="12">
        <v>0.24</v>
      </c>
      <c r="F8" s="12">
        <v>55</v>
      </c>
      <c r="G8" s="12">
        <v>4.5999999999999996</v>
      </c>
      <c r="H8" s="12" t="str">
        <f t="shared" si="1"/>
        <v>High</v>
      </c>
      <c r="I8" s="12" t="str">
        <f t="shared" si="0"/>
        <v>Excellent</v>
      </c>
      <c r="J8" s="13" t="str">
        <f t="shared" si="2"/>
        <v>Medium Discount</v>
      </c>
      <c r="K8" t="str">
        <f t="shared" si="3"/>
        <v>High</v>
      </c>
    </row>
    <row r="9" spans="1:11" x14ac:dyDescent="0.25">
      <c r="A9" s="14" t="s">
        <v>33</v>
      </c>
      <c r="B9" s="14">
        <v>988</v>
      </c>
      <c r="C9" s="14">
        <v>1580</v>
      </c>
      <c r="D9" s="14">
        <v>592</v>
      </c>
      <c r="E9" s="14">
        <v>0.37</v>
      </c>
      <c r="F9" s="14">
        <v>2</v>
      </c>
      <c r="G9" s="14">
        <v>4</v>
      </c>
      <c r="H9" s="12" t="str">
        <f t="shared" si="1"/>
        <v>Low</v>
      </c>
      <c r="I9" s="12" t="str">
        <f t="shared" si="0"/>
        <v>Excellent</v>
      </c>
      <c r="J9" s="13" t="str">
        <f t="shared" si="2"/>
        <v>Medium Discount</v>
      </c>
      <c r="K9" t="str">
        <f t="shared" si="3"/>
        <v>Medium</v>
      </c>
    </row>
    <row r="10" spans="1:11" x14ac:dyDescent="0.25">
      <c r="A10" s="12" t="s">
        <v>35</v>
      </c>
      <c r="B10" s="12">
        <v>1274</v>
      </c>
      <c r="C10" s="12">
        <v>2800</v>
      </c>
      <c r="D10" s="12">
        <v>1526</v>
      </c>
      <c r="E10" s="12">
        <v>0.55000000000000004</v>
      </c>
      <c r="F10" s="12">
        <v>5</v>
      </c>
      <c r="G10" s="12">
        <v>4.8</v>
      </c>
      <c r="H10" s="12" t="str">
        <f t="shared" si="1"/>
        <v>Medium</v>
      </c>
      <c r="I10" s="12" t="str">
        <f t="shared" si="0"/>
        <v>Excellent</v>
      </c>
      <c r="J10" s="13" t="str">
        <f t="shared" si="2"/>
        <v>High Discount</v>
      </c>
      <c r="K10" t="str">
        <f t="shared" si="3"/>
        <v>Medium</v>
      </c>
    </row>
    <row r="11" spans="1:11" x14ac:dyDescent="0.25">
      <c r="A11" s="14" t="s">
        <v>38</v>
      </c>
      <c r="B11" s="14">
        <v>1600</v>
      </c>
      <c r="C11" s="14">
        <v>2929</v>
      </c>
      <c r="D11" s="14">
        <v>1329</v>
      </c>
      <c r="E11" s="14">
        <v>0.45</v>
      </c>
      <c r="F11" s="14">
        <v>5</v>
      </c>
      <c r="G11" s="14">
        <v>3.8</v>
      </c>
      <c r="H11" s="12" t="str">
        <f t="shared" si="1"/>
        <v>Medium</v>
      </c>
      <c r="I11" s="12" t="str">
        <f t="shared" si="0"/>
        <v>Average</v>
      </c>
      <c r="J11" s="13" t="str">
        <f t="shared" si="2"/>
        <v>High Discount</v>
      </c>
      <c r="K11" t="str">
        <f t="shared" si="3"/>
        <v>High</v>
      </c>
    </row>
    <row r="12" spans="1:11" x14ac:dyDescent="0.25">
      <c r="A12" s="12" t="s">
        <v>42</v>
      </c>
      <c r="B12" s="12">
        <v>799</v>
      </c>
      <c r="C12" s="12">
        <v>999</v>
      </c>
      <c r="D12" s="12">
        <v>200</v>
      </c>
      <c r="E12" s="12">
        <v>0.2</v>
      </c>
      <c r="F12" s="12">
        <v>12</v>
      </c>
      <c r="G12" s="12">
        <v>4.0999999999999996</v>
      </c>
      <c r="H12" s="12" t="str">
        <f t="shared" si="1"/>
        <v>Medium</v>
      </c>
      <c r="I12" s="12" t="str">
        <f t="shared" si="0"/>
        <v>Excellent</v>
      </c>
      <c r="J12" s="13" t="str">
        <f t="shared" si="2"/>
        <v>Medium Discount</v>
      </c>
      <c r="K12" t="str">
        <f t="shared" si="3"/>
        <v>Medium</v>
      </c>
    </row>
    <row r="13" spans="1:11" x14ac:dyDescent="0.25">
      <c r="A13" s="14" t="s">
        <v>44</v>
      </c>
      <c r="B13" s="14">
        <v>990</v>
      </c>
      <c r="C13" s="14">
        <v>1500</v>
      </c>
      <c r="D13" s="14">
        <v>510</v>
      </c>
      <c r="E13" s="14">
        <v>0.34</v>
      </c>
      <c r="F13" s="14">
        <v>39</v>
      </c>
      <c r="G13" s="14">
        <v>4.7</v>
      </c>
      <c r="H13" s="12" t="str">
        <f t="shared" si="1"/>
        <v>High</v>
      </c>
      <c r="I13" s="12" t="str">
        <f t="shared" si="0"/>
        <v>Excellent</v>
      </c>
      <c r="J13" s="13" t="str">
        <f t="shared" si="2"/>
        <v>Medium Discount</v>
      </c>
      <c r="K13" t="str">
        <f t="shared" si="3"/>
        <v>Medium</v>
      </c>
    </row>
    <row r="14" spans="1:11" x14ac:dyDescent="0.25">
      <c r="A14" s="12" t="s">
        <v>47</v>
      </c>
      <c r="B14" s="12">
        <v>552</v>
      </c>
      <c r="C14" s="12">
        <v>1035</v>
      </c>
      <c r="D14" s="12">
        <v>483</v>
      </c>
      <c r="E14" s="12">
        <v>0.47</v>
      </c>
      <c r="F14" s="12">
        <v>12</v>
      </c>
      <c r="G14" s="12">
        <v>4.8</v>
      </c>
      <c r="H14" s="12" t="str">
        <f t="shared" si="1"/>
        <v>Medium</v>
      </c>
      <c r="I14" s="12" t="str">
        <f t="shared" si="0"/>
        <v>Excellent</v>
      </c>
      <c r="J14" s="13" t="str">
        <f t="shared" si="2"/>
        <v>High Discount</v>
      </c>
      <c r="K14" t="str">
        <f t="shared" si="3"/>
        <v>Medium</v>
      </c>
    </row>
    <row r="15" spans="1:11" x14ac:dyDescent="0.25">
      <c r="A15" s="14" t="s">
        <v>50</v>
      </c>
      <c r="B15" s="14">
        <v>501</v>
      </c>
      <c r="C15" s="14">
        <v>860</v>
      </c>
      <c r="D15" s="14">
        <v>359</v>
      </c>
      <c r="E15" s="14">
        <v>0.42</v>
      </c>
      <c r="F15" s="14">
        <v>6</v>
      </c>
      <c r="G15" s="14">
        <v>4.5</v>
      </c>
      <c r="H15" s="12" t="str">
        <f t="shared" si="1"/>
        <v>Medium</v>
      </c>
      <c r="I15" s="12" t="str">
        <f t="shared" si="0"/>
        <v>Excellent</v>
      </c>
      <c r="J15" s="13" t="str">
        <f t="shared" si="2"/>
        <v>High Discount</v>
      </c>
      <c r="K15" t="str">
        <f t="shared" si="3"/>
        <v>Medium</v>
      </c>
    </row>
    <row r="16" spans="1:11" x14ac:dyDescent="0.25">
      <c r="A16" s="12" t="s">
        <v>53</v>
      </c>
      <c r="B16" s="12">
        <v>1680</v>
      </c>
      <c r="C16" s="12">
        <v>2499</v>
      </c>
      <c r="D16" s="12">
        <v>819</v>
      </c>
      <c r="E16" s="12">
        <v>0.33</v>
      </c>
      <c r="F16" s="12">
        <v>9</v>
      </c>
      <c r="G16" s="12">
        <v>4.2</v>
      </c>
      <c r="H16" s="12" t="str">
        <f t="shared" si="1"/>
        <v>Medium</v>
      </c>
      <c r="I16" s="12" t="str">
        <f t="shared" si="0"/>
        <v>Excellent</v>
      </c>
      <c r="J16" s="13" t="str">
        <f t="shared" si="2"/>
        <v>Medium Discount</v>
      </c>
      <c r="K16" t="str">
        <f t="shared" si="3"/>
        <v>High</v>
      </c>
    </row>
    <row r="17" spans="1:11" x14ac:dyDescent="0.25">
      <c r="A17" s="14" t="s">
        <v>56</v>
      </c>
      <c r="B17" s="14">
        <v>332</v>
      </c>
      <c r="C17" s="14">
        <v>684</v>
      </c>
      <c r="D17" s="14">
        <v>352</v>
      </c>
      <c r="E17" s="14">
        <v>0.51</v>
      </c>
      <c r="F17" s="14">
        <v>2</v>
      </c>
      <c r="G17" s="14">
        <v>5</v>
      </c>
      <c r="H17" s="12" t="str">
        <f t="shared" si="1"/>
        <v>Low</v>
      </c>
      <c r="I17" s="12" t="str">
        <f t="shared" si="0"/>
        <v>Excellent</v>
      </c>
      <c r="J17" s="13" t="str">
        <f t="shared" si="2"/>
        <v>High Discount</v>
      </c>
      <c r="K17" t="str">
        <f t="shared" si="3"/>
        <v>Low</v>
      </c>
    </row>
    <row r="18" spans="1:11" x14ac:dyDescent="0.25">
      <c r="A18" s="12" t="s">
        <v>60</v>
      </c>
      <c r="B18" s="12">
        <v>195</v>
      </c>
      <c r="C18" s="12">
        <v>360</v>
      </c>
      <c r="D18" s="12">
        <v>165</v>
      </c>
      <c r="E18" s="12">
        <v>0.46</v>
      </c>
      <c r="F18" s="12">
        <v>2</v>
      </c>
      <c r="G18" s="12">
        <v>5</v>
      </c>
      <c r="H18" s="12" t="str">
        <f t="shared" si="1"/>
        <v>Low</v>
      </c>
      <c r="I18" s="12" t="str">
        <f t="shared" si="0"/>
        <v>Excellent</v>
      </c>
      <c r="J18" s="13" t="str">
        <f t="shared" si="2"/>
        <v>High Discount</v>
      </c>
      <c r="K18" t="str">
        <f t="shared" si="3"/>
        <v>Low</v>
      </c>
    </row>
    <row r="19" spans="1:11" x14ac:dyDescent="0.25">
      <c r="A19" s="14" t="s">
        <v>63</v>
      </c>
      <c r="B19" s="14">
        <v>2025</v>
      </c>
      <c r="C19" s="14">
        <v>3971</v>
      </c>
      <c r="D19" s="14">
        <v>1946</v>
      </c>
      <c r="E19" s="14">
        <v>0.49</v>
      </c>
      <c r="F19" s="14">
        <v>3</v>
      </c>
      <c r="G19" s="14">
        <v>5</v>
      </c>
      <c r="H19" s="12" t="str">
        <f t="shared" si="1"/>
        <v>Low</v>
      </c>
      <c r="I19" s="12" t="str">
        <f t="shared" si="0"/>
        <v>Excellent</v>
      </c>
      <c r="J19" s="13" t="str">
        <f t="shared" si="2"/>
        <v>High Discount</v>
      </c>
      <c r="K19" t="str">
        <f t="shared" si="3"/>
        <v>High</v>
      </c>
    </row>
    <row r="20" spans="1:11" x14ac:dyDescent="0.25">
      <c r="A20" s="12" t="s">
        <v>66</v>
      </c>
      <c r="B20" s="12">
        <v>2999</v>
      </c>
      <c r="C20" s="12">
        <v>3699</v>
      </c>
      <c r="D20" s="12">
        <v>700</v>
      </c>
      <c r="E20" s="12">
        <v>0.19</v>
      </c>
      <c r="F20" s="12">
        <v>5</v>
      </c>
      <c r="G20" s="12">
        <v>4.5999999999999996</v>
      </c>
      <c r="H20" s="12" t="str">
        <f t="shared" si="1"/>
        <v>Medium</v>
      </c>
      <c r="I20" s="12" t="str">
        <f t="shared" si="0"/>
        <v>Excellent</v>
      </c>
      <c r="J20" s="13" t="str">
        <f t="shared" si="2"/>
        <v>Low Discount</v>
      </c>
      <c r="K20" t="str">
        <f t="shared" si="3"/>
        <v>High</v>
      </c>
    </row>
    <row r="21" spans="1:11" x14ac:dyDescent="0.25">
      <c r="A21" s="14" t="s">
        <v>68</v>
      </c>
      <c r="B21" s="14">
        <v>998</v>
      </c>
      <c r="C21" s="14">
        <v>1966</v>
      </c>
      <c r="D21" s="14">
        <v>968</v>
      </c>
      <c r="E21" s="14">
        <v>0.49</v>
      </c>
      <c r="F21" s="14">
        <v>44</v>
      </c>
      <c r="G21" s="14">
        <v>4.5999999999999996</v>
      </c>
      <c r="H21" s="12" t="str">
        <f t="shared" si="1"/>
        <v>High</v>
      </c>
      <c r="I21" s="12" t="str">
        <f t="shared" si="0"/>
        <v>Excellent</v>
      </c>
      <c r="J21" s="13" t="str">
        <f t="shared" si="2"/>
        <v>High Discount</v>
      </c>
      <c r="K21" t="str">
        <f t="shared" si="3"/>
        <v>Medium</v>
      </c>
    </row>
    <row r="22" spans="1:11" x14ac:dyDescent="0.25">
      <c r="A22" s="12" t="s">
        <v>71</v>
      </c>
      <c r="B22" s="12">
        <v>38</v>
      </c>
      <c r="C22" s="12">
        <v>80</v>
      </c>
      <c r="D22" s="12">
        <v>42</v>
      </c>
      <c r="E22" s="12">
        <v>0.53</v>
      </c>
      <c r="F22" s="12">
        <v>13</v>
      </c>
      <c r="G22" s="12">
        <v>3.3</v>
      </c>
      <c r="H22" s="12" t="str">
        <f t="shared" si="1"/>
        <v>Medium</v>
      </c>
      <c r="I22" s="12" t="str">
        <f t="shared" si="0"/>
        <v>Average</v>
      </c>
      <c r="J22" s="13" t="str">
        <f t="shared" si="2"/>
        <v>High Discount</v>
      </c>
      <c r="K22" t="str">
        <f t="shared" si="3"/>
        <v>Low</v>
      </c>
    </row>
    <row r="23" spans="1:11" x14ac:dyDescent="0.25">
      <c r="A23" s="14" t="s">
        <v>75</v>
      </c>
      <c r="B23" s="14">
        <v>1860</v>
      </c>
      <c r="C23" s="14">
        <v>3220</v>
      </c>
      <c r="D23" s="14">
        <v>1360</v>
      </c>
      <c r="E23" s="14">
        <v>0.42</v>
      </c>
      <c r="F23" s="14"/>
      <c r="G23" s="14" t="s">
        <v>323</v>
      </c>
      <c r="H23" s="12" t="str">
        <f t="shared" si="1"/>
        <v>No reviews</v>
      </c>
      <c r="I23" s="12" t="str">
        <f t="shared" si="0"/>
        <v>Not Rated</v>
      </c>
      <c r="J23" s="13" t="str">
        <f t="shared" si="2"/>
        <v>High Discount</v>
      </c>
      <c r="K23" t="str">
        <f t="shared" si="3"/>
        <v>High</v>
      </c>
    </row>
    <row r="24" spans="1:11" x14ac:dyDescent="0.25">
      <c r="A24" s="12" t="s">
        <v>78</v>
      </c>
      <c r="B24" s="12">
        <v>880</v>
      </c>
      <c r="C24" s="12">
        <v>1350</v>
      </c>
      <c r="D24" s="12">
        <v>470</v>
      </c>
      <c r="E24" s="12">
        <v>0.35</v>
      </c>
      <c r="F24" s="12">
        <v>6</v>
      </c>
      <c r="G24" s="12">
        <v>4</v>
      </c>
      <c r="H24" s="12" t="str">
        <f t="shared" si="1"/>
        <v>Medium</v>
      </c>
      <c r="I24" s="12" t="str">
        <f t="shared" si="0"/>
        <v>Excellent</v>
      </c>
      <c r="J24" s="13" t="str">
        <f t="shared" si="2"/>
        <v>Medium Discount</v>
      </c>
      <c r="K24" t="str">
        <f t="shared" si="3"/>
        <v>Medium</v>
      </c>
    </row>
    <row r="25" spans="1:11" x14ac:dyDescent="0.25">
      <c r="A25" s="14" t="s">
        <v>81</v>
      </c>
      <c r="B25" s="14">
        <v>1650</v>
      </c>
      <c r="C25" s="14">
        <v>2150</v>
      </c>
      <c r="D25" s="14">
        <v>500</v>
      </c>
      <c r="E25" s="14">
        <v>0.23</v>
      </c>
      <c r="F25" s="14">
        <v>14</v>
      </c>
      <c r="G25" s="14">
        <v>4.4000000000000004</v>
      </c>
      <c r="H25" s="12" t="str">
        <f t="shared" si="1"/>
        <v>Medium</v>
      </c>
      <c r="I25" s="12" t="str">
        <f t="shared" si="0"/>
        <v>Excellent</v>
      </c>
      <c r="J25" s="13" t="str">
        <f t="shared" si="2"/>
        <v>Medium Discount</v>
      </c>
      <c r="K25" t="str">
        <f t="shared" si="3"/>
        <v>High</v>
      </c>
    </row>
    <row r="26" spans="1:11" x14ac:dyDescent="0.25">
      <c r="A26" s="12" t="s">
        <v>85</v>
      </c>
      <c r="B26" s="12">
        <v>2048</v>
      </c>
      <c r="C26" s="12">
        <v>4500</v>
      </c>
      <c r="D26" s="12">
        <v>2452</v>
      </c>
      <c r="E26" s="12">
        <v>0.54</v>
      </c>
      <c r="F26" s="12">
        <v>7</v>
      </c>
      <c r="G26" s="12">
        <v>4.3</v>
      </c>
      <c r="H26" s="12" t="str">
        <f t="shared" si="1"/>
        <v>Medium</v>
      </c>
      <c r="I26" s="12" t="str">
        <f t="shared" si="0"/>
        <v>Excellent</v>
      </c>
      <c r="J26" s="13" t="str">
        <f t="shared" si="2"/>
        <v>High Discount</v>
      </c>
      <c r="K26" t="str">
        <f t="shared" si="3"/>
        <v>High</v>
      </c>
    </row>
    <row r="27" spans="1:11" x14ac:dyDescent="0.25">
      <c r="A27" s="14" t="s">
        <v>89</v>
      </c>
      <c r="B27" s="14">
        <v>420</v>
      </c>
      <c r="C27" s="14">
        <v>647</v>
      </c>
      <c r="D27" s="14">
        <v>227</v>
      </c>
      <c r="E27" s="14">
        <v>0.35</v>
      </c>
      <c r="F27" s="14">
        <v>49</v>
      </c>
      <c r="G27" s="14">
        <v>4.5999999999999996</v>
      </c>
      <c r="H27" s="12" t="str">
        <f t="shared" si="1"/>
        <v>High</v>
      </c>
      <c r="I27" s="12" t="str">
        <f t="shared" si="0"/>
        <v>Excellent</v>
      </c>
      <c r="J27" s="13" t="str">
        <f t="shared" si="2"/>
        <v>Medium Discount</v>
      </c>
      <c r="K27" t="str">
        <f t="shared" si="3"/>
        <v>Low</v>
      </c>
    </row>
    <row r="28" spans="1:11" x14ac:dyDescent="0.25">
      <c r="A28" s="12" t="s">
        <v>92</v>
      </c>
      <c r="B28" s="12">
        <v>2880</v>
      </c>
      <c r="C28" s="12">
        <v>3520</v>
      </c>
      <c r="D28" s="12">
        <v>640</v>
      </c>
      <c r="E28" s="12">
        <v>0.18</v>
      </c>
      <c r="F28" s="12">
        <v>12</v>
      </c>
      <c r="G28" s="12">
        <v>3.8</v>
      </c>
      <c r="H28" s="12" t="str">
        <f t="shared" si="1"/>
        <v>Medium</v>
      </c>
      <c r="I28" s="12" t="str">
        <f t="shared" si="0"/>
        <v>Average</v>
      </c>
      <c r="J28" s="13" t="str">
        <f t="shared" si="2"/>
        <v>Low Discount</v>
      </c>
      <c r="K28" t="str">
        <f t="shared" si="3"/>
        <v>High</v>
      </c>
    </row>
    <row r="29" spans="1:11" x14ac:dyDescent="0.25">
      <c r="A29" s="14" t="s">
        <v>95</v>
      </c>
      <c r="B29" s="14">
        <v>1350</v>
      </c>
      <c r="C29" s="14">
        <v>1990</v>
      </c>
      <c r="D29" s="14">
        <v>640</v>
      </c>
      <c r="E29" s="14">
        <v>0.32</v>
      </c>
      <c r="F29" s="14">
        <v>13</v>
      </c>
      <c r="G29" s="14">
        <v>3.8</v>
      </c>
      <c r="H29" s="12" t="str">
        <f t="shared" si="1"/>
        <v>Medium</v>
      </c>
      <c r="I29" s="12" t="str">
        <f t="shared" si="0"/>
        <v>Average</v>
      </c>
      <c r="J29" s="13" t="str">
        <f t="shared" si="2"/>
        <v>Medium Discount</v>
      </c>
      <c r="K29" t="str">
        <f t="shared" si="3"/>
        <v>Medium</v>
      </c>
    </row>
    <row r="30" spans="1:11" x14ac:dyDescent="0.25">
      <c r="A30" s="12" t="s">
        <v>97</v>
      </c>
      <c r="B30" s="12">
        <v>1758</v>
      </c>
      <c r="C30" s="12">
        <v>2499</v>
      </c>
      <c r="D30" s="12">
        <v>741</v>
      </c>
      <c r="E30" s="12">
        <v>0.3</v>
      </c>
      <c r="F30" s="12">
        <v>20</v>
      </c>
      <c r="G30" s="12">
        <v>4.0999999999999996</v>
      </c>
      <c r="H30" s="12" t="str">
        <f t="shared" si="1"/>
        <v>High</v>
      </c>
      <c r="I30" s="12" t="str">
        <f t="shared" si="0"/>
        <v>Excellent</v>
      </c>
      <c r="J30" s="13" t="str">
        <f t="shared" si="2"/>
        <v>Medium Discount</v>
      </c>
      <c r="K30" t="str">
        <f t="shared" si="3"/>
        <v>High</v>
      </c>
    </row>
    <row r="31" spans="1:11" x14ac:dyDescent="0.25">
      <c r="A31" s="14" t="s">
        <v>99</v>
      </c>
      <c r="B31" s="14">
        <v>2200</v>
      </c>
      <c r="C31" s="14">
        <v>4080</v>
      </c>
      <c r="D31" s="14">
        <v>1880</v>
      </c>
      <c r="E31" s="14">
        <v>0.46</v>
      </c>
      <c r="F31" s="14"/>
      <c r="G31" s="14" t="s">
        <v>323</v>
      </c>
      <c r="H31" s="12" t="str">
        <f t="shared" si="1"/>
        <v>No reviews</v>
      </c>
      <c r="I31" s="12" t="str">
        <f t="shared" si="0"/>
        <v>Not Rated</v>
      </c>
      <c r="J31" s="13" t="str">
        <f t="shared" si="2"/>
        <v>High Discount</v>
      </c>
      <c r="K31" t="str">
        <f t="shared" si="3"/>
        <v>High</v>
      </c>
    </row>
    <row r="32" spans="1:11" x14ac:dyDescent="0.25">
      <c r="A32" s="12" t="s">
        <v>102</v>
      </c>
      <c r="B32" s="12">
        <v>185</v>
      </c>
      <c r="C32" s="12">
        <v>382</v>
      </c>
      <c r="D32" s="12">
        <v>197</v>
      </c>
      <c r="E32" s="12">
        <v>0.52</v>
      </c>
      <c r="F32" s="12">
        <v>9</v>
      </c>
      <c r="G32" s="12">
        <v>4.3</v>
      </c>
      <c r="H32" s="12" t="str">
        <f t="shared" si="1"/>
        <v>Medium</v>
      </c>
      <c r="I32" s="12" t="str">
        <f t="shared" si="0"/>
        <v>Excellent</v>
      </c>
      <c r="J32" s="13" t="str">
        <f t="shared" si="2"/>
        <v>High Discount</v>
      </c>
      <c r="K32" t="str">
        <f t="shared" si="3"/>
        <v>Low</v>
      </c>
    </row>
    <row r="33" spans="1:11" x14ac:dyDescent="0.25">
      <c r="A33" s="14" t="s">
        <v>105</v>
      </c>
      <c r="B33" s="14">
        <v>980</v>
      </c>
      <c r="C33" s="14">
        <v>1490</v>
      </c>
      <c r="D33" s="14">
        <v>510</v>
      </c>
      <c r="E33" s="14">
        <v>0.34</v>
      </c>
      <c r="F33" s="14">
        <v>12</v>
      </c>
      <c r="G33" s="14">
        <v>4.7</v>
      </c>
      <c r="H33" s="12" t="str">
        <f t="shared" si="1"/>
        <v>Medium</v>
      </c>
      <c r="I33" s="12" t="str">
        <f t="shared" si="0"/>
        <v>Excellent</v>
      </c>
      <c r="J33" s="13" t="str">
        <f t="shared" si="2"/>
        <v>Medium Discount</v>
      </c>
      <c r="K33" t="str">
        <f t="shared" si="3"/>
        <v>Medium</v>
      </c>
    </row>
    <row r="34" spans="1:11" x14ac:dyDescent="0.25">
      <c r="A34" s="12" t="s">
        <v>108</v>
      </c>
      <c r="B34" s="12">
        <v>1820</v>
      </c>
      <c r="C34" s="12">
        <v>3490</v>
      </c>
      <c r="D34" s="12">
        <v>1670</v>
      </c>
      <c r="E34" s="12">
        <v>0.48</v>
      </c>
      <c r="F34" s="12">
        <v>9</v>
      </c>
      <c r="G34" s="12">
        <v>4.3</v>
      </c>
      <c r="H34" s="12" t="str">
        <f t="shared" si="1"/>
        <v>Medium</v>
      </c>
      <c r="I34" s="12" t="str">
        <f t="shared" si="0"/>
        <v>Excellent</v>
      </c>
      <c r="J34" s="13" t="str">
        <f t="shared" ref="J34:J65" si="4">IF(E34&lt;0.2,"Low Discount",IF(E34&lt;0.4,"Medium Discount","High Discount"))</f>
        <v>High Discount</v>
      </c>
      <c r="K34" t="str">
        <f t="shared" si="3"/>
        <v>High</v>
      </c>
    </row>
    <row r="35" spans="1:11" x14ac:dyDescent="0.25">
      <c r="A35" s="14" t="s">
        <v>111</v>
      </c>
      <c r="B35" s="14">
        <v>1940</v>
      </c>
      <c r="C35" s="14">
        <v>2650</v>
      </c>
      <c r="D35" s="14">
        <v>710</v>
      </c>
      <c r="E35" s="14">
        <v>0.27</v>
      </c>
      <c r="F35" s="14">
        <v>20</v>
      </c>
      <c r="G35" s="14">
        <v>4.7</v>
      </c>
      <c r="H35" s="12" t="str">
        <f t="shared" si="1"/>
        <v>High</v>
      </c>
      <c r="I35" s="12" t="str">
        <f t="shared" si="0"/>
        <v>Excellent</v>
      </c>
      <c r="J35" s="13" t="str">
        <f t="shared" si="4"/>
        <v>Medium Discount</v>
      </c>
      <c r="K35" t="str">
        <f t="shared" si="3"/>
        <v>High</v>
      </c>
    </row>
    <row r="36" spans="1:11" x14ac:dyDescent="0.25">
      <c r="A36" s="12" t="s">
        <v>114</v>
      </c>
      <c r="B36" s="12">
        <v>1980</v>
      </c>
      <c r="C36" s="12">
        <v>2699</v>
      </c>
      <c r="D36" s="12">
        <v>719</v>
      </c>
      <c r="E36" s="12">
        <v>0.27</v>
      </c>
      <c r="F36" s="12">
        <v>32</v>
      </c>
      <c r="G36" s="12">
        <v>4.5</v>
      </c>
      <c r="H36" s="12" t="str">
        <f t="shared" si="1"/>
        <v>High</v>
      </c>
      <c r="I36" s="12" t="str">
        <f t="shared" si="0"/>
        <v>Excellent</v>
      </c>
      <c r="J36" s="13" t="str">
        <f t="shared" si="4"/>
        <v>Medium Discount</v>
      </c>
      <c r="K36" t="str">
        <f t="shared" si="3"/>
        <v>High</v>
      </c>
    </row>
    <row r="37" spans="1:11" x14ac:dyDescent="0.25">
      <c r="A37" s="14" t="s">
        <v>117</v>
      </c>
      <c r="B37" s="14">
        <v>1620</v>
      </c>
      <c r="C37" s="14">
        <v>2690</v>
      </c>
      <c r="D37" s="14">
        <v>1070</v>
      </c>
      <c r="E37" s="14">
        <v>0.4</v>
      </c>
      <c r="F37" s="14">
        <v>1</v>
      </c>
      <c r="G37" s="14">
        <v>5</v>
      </c>
      <c r="H37" s="12" t="str">
        <f t="shared" si="1"/>
        <v>Low</v>
      </c>
      <c r="I37" s="12" t="str">
        <f t="shared" si="0"/>
        <v>Excellent</v>
      </c>
      <c r="J37" s="13" t="str">
        <f t="shared" si="4"/>
        <v>High Discount</v>
      </c>
      <c r="K37" t="str">
        <f t="shared" si="3"/>
        <v>High</v>
      </c>
    </row>
    <row r="38" spans="1:11" x14ac:dyDescent="0.25">
      <c r="A38" s="12" t="s">
        <v>120</v>
      </c>
      <c r="B38" s="12">
        <v>1800</v>
      </c>
      <c r="C38" s="12">
        <v>360</v>
      </c>
      <c r="D38" s="12">
        <v>-1440</v>
      </c>
      <c r="E38" s="12">
        <v>0.53</v>
      </c>
      <c r="F38" s="12">
        <v>2</v>
      </c>
      <c r="G38" s="12">
        <v>5</v>
      </c>
      <c r="H38" s="12" t="str">
        <f t="shared" si="1"/>
        <v>Low</v>
      </c>
      <c r="I38" s="12" t="str">
        <f t="shared" si="0"/>
        <v>Excellent</v>
      </c>
      <c r="J38" s="13" t="str">
        <f t="shared" si="4"/>
        <v>High Discount</v>
      </c>
      <c r="K38" t="str">
        <f t="shared" si="3"/>
        <v>High</v>
      </c>
    </row>
    <row r="39" spans="1:11" x14ac:dyDescent="0.25">
      <c r="A39" s="14" t="s">
        <v>122</v>
      </c>
      <c r="B39" s="14">
        <v>389</v>
      </c>
      <c r="C39" s="14">
        <v>656</v>
      </c>
      <c r="D39" s="14">
        <v>267</v>
      </c>
      <c r="E39" s="14">
        <v>0.41</v>
      </c>
      <c r="F39" s="14">
        <v>36</v>
      </c>
      <c r="G39" s="14">
        <v>4.3</v>
      </c>
      <c r="H39" s="12" t="str">
        <f t="shared" si="1"/>
        <v>High</v>
      </c>
      <c r="I39" s="12" t="str">
        <f t="shared" si="0"/>
        <v>Excellent</v>
      </c>
      <c r="J39" s="13" t="str">
        <f t="shared" si="4"/>
        <v>High Discount</v>
      </c>
      <c r="K39" t="str">
        <f t="shared" si="3"/>
        <v>Low</v>
      </c>
    </row>
    <row r="40" spans="1:11" x14ac:dyDescent="0.25">
      <c r="A40" s="12" t="s">
        <v>125</v>
      </c>
      <c r="B40" s="12">
        <v>1800</v>
      </c>
      <c r="C40" s="12">
        <v>2700</v>
      </c>
      <c r="D40" s="12">
        <v>900</v>
      </c>
      <c r="E40" s="12">
        <v>0.38</v>
      </c>
      <c r="F40" s="12">
        <v>2</v>
      </c>
      <c r="G40" s="12">
        <v>4.5</v>
      </c>
      <c r="H40" s="12" t="str">
        <f t="shared" si="1"/>
        <v>Low</v>
      </c>
      <c r="I40" s="12" t="str">
        <f t="shared" si="0"/>
        <v>Excellent</v>
      </c>
      <c r="J40" s="13" t="str">
        <f t="shared" si="4"/>
        <v>Medium Discount</v>
      </c>
      <c r="K40" t="str">
        <f t="shared" si="3"/>
        <v>High</v>
      </c>
    </row>
    <row r="41" spans="1:11" x14ac:dyDescent="0.25">
      <c r="A41" s="14" t="s">
        <v>128</v>
      </c>
      <c r="B41" s="14">
        <v>2750</v>
      </c>
      <c r="C41" s="14">
        <v>4471</v>
      </c>
      <c r="D41" s="14">
        <v>1721</v>
      </c>
      <c r="E41" s="14">
        <v>0.38</v>
      </c>
      <c r="F41" s="14"/>
      <c r="G41" s="14" t="s">
        <v>323</v>
      </c>
      <c r="H41" s="12" t="str">
        <f t="shared" si="1"/>
        <v>No reviews</v>
      </c>
      <c r="I41" s="12" t="str">
        <f t="shared" si="0"/>
        <v>Not Rated</v>
      </c>
      <c r="J41" s="13" t="str">
        <f t="shared" si="4"/>
        <v>Medium Discount</v>
      </c>
      <c r="K41" t="str">
        <f t="shared" si="3"/>
        <v>High</v>
      </c>
    </row>
    <row r="42" spans="1:11" x14ac:dyDescent="0.25">
      <c r="A42" s="12" t="s">
        <v>131</v>
      </c>
      <c r="B42" s="12">
        <v>475</v>
      </c>
      <c r="C42" s="12">
        <v>931</v>
      </c>
      <c r="D42" s="12">
        <v>456</v>
      </c>
      <c r="E42" s="12">
        <v>0.49</v>
      </c>
      <c r="F42" s="12"/>
      <c r="G42" s="12" t="s">
        <v>323</v>
      </c>
      <c r="H42" s="12" t="str">
        <f t="shared" si="1"/>
        <v>No reviews</v>
      </c>
      <c r="I42" s="12" t="str">
        <f t="shared" si="0"/>
        <v>Not Rated</v>
      </c>
      <c r="J42" s="13" t="str">
        <f t="shared" si="4"/>
        <v>High Discount</v>
      </c>
      <c r="K42" t="str">
        <f t="shared" si="3"/>
        <v>Low</v>
      </c>
    </row>
    <row r="43" spans="1:11" x14ac:dyDescent="0.25">
      <c r="A43" s="14" t="s">
        <v>134</v>
      </c>
      <c r="B43" s="14">
        <v>238</v>
      </c>
      <c r="C43" s="14">
        <v>476</v>
      </c>
      <c r="D43" s="14">
        <v>238</v>
      </c>
      <c r="E43" s="14">
        <v>0.5</v>
      </c>
      <c r="F43" s="14"/>
      <c r="G43" s="14" t="s">
        <v>323</v>
      </c>
      <c r="H43" s="12" t="str">
        <f t="shared" si="1"/>
        <v>No reviews</v>
      </c>
      <c r="I43" s="12" t="str">
        <f t="shared" si="0"/>
        <v>Not Rated</v>
      </c>
      <c r="J43" s="13" t="str">
        <f t="shared" si="4"/>
        <v>High Discount</v>
      </c>
      <c r="K43" t="str">
        <f t="shared" si="3"/>
        <v>Low</v>
      </c>
    </row>
    <row r="44" spans="1:11" x14ac:dyDescent="0.25">
      <c r="A44" s="12" t="s">
        <v>137</v>
      </c>
      <c r="B44" s="12">
        <v>610</v>
      </c>
      <c r="C44" s="12">
        <v>1060</v>
      </c>
      <c r="D44" s="12">
        <v>450</v>
      </c>
      <c r="E44" s="12">
        <v>0.42</v>
      </c>
      <c r="F44" s="12"/>
      <c r="G44" s="12" t="s">
        <v>323</v>
      </c>
      <c r="H44" s="12" t="str">
        <f t="shared" si="1"/>
        <v>No reviews</v>
      </c>
      <c r="I44" s="12" t="str">
        <f t="shared" si="0"/>
        <v>Not Rated</v>
      </c>
      <c r="J44" s="13" t="str">
        <f t="shared" si="4"/>
        <v>High Discount</v>
      </c>
      <c r="K44" t="str">
        <f t="shared" si="3"/>
        <v>Medium</v>
      </c>
    </row>
    <row r="45" spans="1:11" x14ac:dyDescent="0.25">
      <c r="A45" s="14" t="s">
        <v>140</v>
      </c>
      <c r="B45" s="14">
        <v>2132</v>
      </c>
      <c r="C45" s="14">
        <v>2169</v>
      </c>
      <c r="D45" s="14">
        <v>37</v>
      </c>
      <c r="E45" s="14">
        <v>0.02</v>
      </c>
      <c r="F45" s="14"/>
      <c r="G45" s="14" t="s">
        <v>323</v>
      </c>
      <c r="H45" s="12" t="str">
        <f t="shared" si="1"/>
        <v>No reviews</v>
      </c>
      <c r="I45" s="12" t="str">
        <f t="shared" si="0"/>
        <v>Not Rated</v>
      </c>
      <c r="J45" s="13" t="str">
        <f t="shared" si="4"/>
        <v>Low Discount</v>
      </c>
      <c r="K45" t="str">
        <f t="shared" si="3"/>
        <v>High</v>
      </c>
    </row>
    <row r="46" spans="1:11" x14ac:dyDescent="0.25">
      <c r="A46" s="12" t="s">
        <v>143</v>
      </c>
      <c r="B46" s="12">
        <v>999</v>
      </c>
      <c r="C46" s="12">
        <v>2000</v>
      </c>
      <c r="D46" s="12">
        <v>1001</v>
      </c>
      <c r="E46" s="12">
        <v>0.5</v>
      </c>
      <c r="F46" s="12"/>
      <c r="G46" s="12" t="s">
        <v>323</v>
      </c>
      <c r="H46" s="12" t="str">
        <f t="shared" si="1"/>
        <v>No reviews</v>
      </c>
      <c r="I46" s="12" t="str">
        <f t="shared" si="0"/>
        <v>Not Rated</v>
      </c>
      <c r="J46" s="13" t="str">
        <f t="shared" si="4"/>
        <v>High Discount</v>
      </c>
      <c r="K46" t="str">
        <f t="shared" si="3"/>
        <v>Medium</v>
      </c>
    </row>
    <row r="47" spans="1:11" x14ac:dyDescent="0.25">
      <c r="A47" s="14" t="s">
        <v>145</v>
      </c>
      <c r="B47" s="14">
        <v>1190</v>
      </c>
      <c r="C47" s="14">
        <v>1785</v>
      </c>
      <c r="D47" s="14">
        <v>595</v>
      </c>
      <c r="E47" s="14">
        <v>0.33</v>
      </c>
      <c r="F47" s="14"/>
      <c r="G47" s="14" t="s">
        <v>323</v>
      </c>
      <c r="H47" s="12" t="str">
        <f t="shared" si="1"/>
        <v>No reviews</v>
      </c>
      <c r="I47" s="12" t="str">
        <f t="shared" si="0"/>
        <v>Not Rated</v>
      </c>
      <c r="J47" s="13" t="str">
        <f t="shared" si="4"/>
        <v>Medium Discount</v>
      </c>
      <c r="K47" t="str">
        <f t="shared" si="3"/>
        <v>Medium</v>
      </c>
    </row>
    <row r="48" spans="1:11" x14ac:dyDescent="0.25">
      <c r="A48" s="12" t="s">
        <v>148</v>
      </c>
      <c r="B48" s="12">
        <v>671</v>
      </c>
      <c r="C48" s="12">
        <v>1316</v>
      </c>
      <c r="D48" s="12">
        <v>645</v>
      </c>
      <c r="E48" s="12">
        <v>0.49</v>
      </c>
      <c r="F48" s="12"/>
      <c r="G48" s="12" t="s">
        <v>323</v>
      </c>
      <c r="H48" s="12" t="str">
        <f t="shared" si="1"/>
        <v>No reviews</v>
      </c>
      <c r="I48" s="12" t="str">
        <f t="shared" si="0"/>
        <v>Not Rated</v>
      </c>
      <c r="J48" s="13" t="str">
        <f t="shared" si="4"/>
        <v>High Discount</v>
      </c>
      <c r="K48" t="str">
        <f t="shared" si="3"/>
        <v>Medium</v>
      </c>
    </row>
    <row r="49" spans="1:11" x14ac:dyDescent="0.25">
      <c r="A49" s="14" t="s">
        <v>151</v>
      </c>
      <c r="B49" s="14">
        <v>1200</v>
      </c>
      <c r="C49" s="14">
        <v>1950</v>
      </c>
      <c r="D49" s="14">
        <v>750</v>
      </c>
      <c r="E49" s="14">
        <v>0.38</v>
      </c>
      <c r="F49" s="14"/>
      <c r="G49" s="14" t="s">
        <v>323</v>
      </c>
      <c r="H49" s="12" t="str">
        <f t="shared" si="1"/>
        <v>No reviews</v>
      </c>
      <c r="I49" s="12" t="str">
        <f t="shared" si="0"/>
        <v>Not Rated</v>
      </c>
      <c r="J49" s="13" t="str">
        <f t="shared" si="4"/>
        <v>Medium Discount</v>
      </c>
      <c r="K49" t="str">
        <f t="shared" si="3"/>
        <v>Medium</v>
      </c>
    </row>
    <row r="50" spans="1:11" x14ac:dyDescent="0.25">
      <c r="A50" s="12" t="s">
        <v>154</v>
      </c>
      <c r="B50" s="12">
        <v>199</v>
      </c>
      <c r="C50" s="12">
        <v>504</v>
      </c>
      <c r="D50" s="12">
        <v>305</v>
      </c>
      <c r="E50" s="12">
        <v>0.61</v>
      </c>
      <c r="F50" s="12"/>
      <c r="G50" s="12" t="s">
        <v>323</v>
      </c>
      <c r="H50" s="12" t="str">
        <f t="shared" si="1"/>
        <v>No reviews</v>
      </c>
      <c r="I50" s="12" t="str">
        <f t="shared" si="0"/>
        <v>Not Rated</v>
      </c>
      <c r="J50" s="13" t="str">
        <f t="shared" si="4"/>
        <v>High Discount</v>
      </c>
      <c r="K50" t="str">
        <f t="shared" si="3"/>
        <v>Low</v>
      </c>
    </row>
    <row r="51" spans="1:11" x14ac:dyDescent="0.25">
      <c r="A51" s="14" t="s">
        <v>157</v>
      </c>
      <c r="B51" s="14">
        <v>299</v>
      </c>
      <c r="C51" s="14">
        <v>600</v>
      </c>
      <c r="D51" s="14">
        <v>301</v>
      </c>
      <c r="E51" s="14">
        <v>0.5</v>
      </c>
      <c r="F51" s="14"/>
      <c r="G51" s="14" t="s">
        <v>323</v>
      </c>
      <c r="H51" s="12" t="str">
        <f t="shared" si="1"/>
        <v>No reviews</v>
      </c>
      <c r="I51" s="12" t="str">
        <f t="shared" si="0"/>
        <v>Not Rated</v>
      </c>
      <c r="J51" s="13" t="str">
        <f t="shared" si="4"/>
        <v>High Discount</v>
      </c>
      <c r="K51" t="str">
        <f t="shared" si="3"/>
        <v>Low</v>
      </c>
    </row>
    <row r="52" spans="1:11" x14ac:dyDescent="0.25">
      <c r="A52" s="12" t="s">
        <v>160</v>
      </c>
      <c r="B52" s="12">
        <v>1660</v>
      </c>
      <c r="C52" s="12">
        <v>1699</v>
      </c>
      <c r="D52" s="12">
        <v>39</v>
      </c>
      <c r="E52" s="12">
        <v>0.02</v>
      </c>
      <c r="F52" s="12"/>
      <c r="G52" s="12" t="s">
        <v>323</v>
      </c>
      <c r="H52" s="12" t="str">
        <f t="shared" si="1"/>
        <v>No reviews</v>
      </c>
      <c r="I52" s="12" t="str">
        <f t="shared" si="0"/>
        <v>Not Rated</v>
      </c>
      <c r="J52" s="13" t="str">
        <f t="shared" si="4"/>
        <v>Low Discount</v>
      </c>
      <c r="K52" t="str">
        <f t="shared" si="3"/>
        <v>High</v>
      </c>
    </row>
    <row r="53" spans="1:11" x14ac:dyDescent="0.25">
      <c r="A53" s="14" t="s">
        <v>163</v>
      </c>
      <c r="B53" s="14">
        <v>299</v>
      </c>
      <c r="C53" s="14">
        <v>384</v>
      </c>
      <c r="D53" s="14">
        <v>85</v>
      </c>
      <c r="E53" s="14">
        <v>0.22</v>
      </c>
      <c r="F53" s="14"/>
      <c r="G53" s="14" t="s">
        <v>323</v>
      </c>
      <c r="H53" s="12" t="str">
        <f t="shared" si="1"/>
        <v>No reviews</v>
      </c>
      <c r="I53" s="12" t="str">
        <f t="shared" si="0"/>
        <v>Not Rated</v>
      </c>
      <c r="J53" s="13" t="str">
        <f t="shared" si="4"/>
        <v>Medium Discount</v>
      </c>
      <c r="K53" t="str">
        <f t="shared" si="3"/>
        <v>Low</v>
      </c>
    </row>
    <row r="54" spans="1:11" x14ac:dyDescent="0.25">
      <c r="A54" s="12" t="s">
        <v>165</v>
      </c>
      <c r="B54" s="12">
        <v>1459</v>
      </c>
      <c r="C54" s="12">
        <v>1499</v>
      </c>
      <c r="D54" s="12">
        <v>40</v>
      </c>
      <c r="E54" s="12">
        <v>0.03</v>
      </c>
      <c r="F54" s="12"/>
      <c r="G54" s="12" t="s">
        <v>323</v>
      </c>
      <c r="H54" s="12" t="str">
        <f t="shared" si="1"/>
        <v>No reviews</v>
      </c>
      <c r="I54" s="12" t="str">
        <f t="shared" si="0"/>
        <v>Not Rated</v>
      </c>
      <c r="J54" s="13" t="str">
        <f t="shared" si="4"/>
        <v>Low Discount</v>
      </c>
      <c r="K54" t="str">
        <f t="shared" si="3"/>
        <v>Medium</v>
      </c>
    </row>
    <row r="55" spans="1:11" x14ac:dyDescent="0.25">
      <c r="A55" s="14" t="s">
        <v>168</v>
      </c>
      <c r="B55" s="14">
        <v>799</v>
      </c>
      <c r="C55" s="14">
        <v>1343</v>
      </c>
      <c r="D55" s="14">
        <v>544</v>
      </c>
      <c r="E55" s="14">
        <v>0.41</v>
      </c>
      <c r="F55" s="14"/>
      <c r="G55" s="14" t="s">
        <v>323</v>
      </c>
      <c r="H55" s="12" t="str">
        <f t="shared" si="1"/>
        <v>No reviews</v>
      </c>
      <c r="I55" s="12" t="str">
        <f t="shared" si="0"/>
        <v>Not Rated</v>
      </c>
      <c r="J55" s="13" t="str">
        <f t="shared" si="4"/>
        <v>High Discount</v>
      </c>
      <c r="K55" t="str">
        <f t="shared" si="3"/>
        <v>Medium</v>
      </c>
    </row>
    <row r="56" spans="1:11" x14ac:dyDescent="0.25">
      <c r="A56" s="12" t="s">
        <v>170</v>
      </c>
      <c r="B56" s="12">
        <v>499</v>
      </c>
      <c r="C56" s="12">
        <v>900</v>
      </c>
      <c r="D56" s="12">
        <v>401</v>
      </c>
      <c r="E56" s="12">
        <v>0.45</v>
      </c>
      <c r="F56" s="12"/>
      <c r="G56" s="12" t="s">
        <v>323</v>
      </c>
      <c r="H56" s="12" t="str">
        <f t="shared" si="1"/>
        <v>No reviews</v>
      </c>
      <c r="I56" s="12" t="str">
        <f t="shared" si="0"/>
        <v>Not Rated</v>
      </c>
      <c r="J56" s="13" t="str">
        <f t="shared" si="4"/>
        <v>High Discount</v>
      </c>
      <c r="K56" t="str">
        <f t="shared" si="3"/>
        <v>Low</v>
      </c>
    </row>
    <row r="57" spans="1:11" x14ac:dyDescent="0.25">
      <c r="A57" s="14" t="s">
        <v>173</v>
      </c>
      <c r="B57" s="14">
        <v>699</v>
      </c>
      <c r="C57" s="14">
        <v>1343</v>
      </c>
      <c r="D57" s="14">
        <v>644</v>
      </c>
      <c r="E57" s="14">
        <v>0.48</v>
      </c>
      <c r="F57" s="14"/>
      <c r="G57" s="14" t="s">
        <v>323</v>
      </c>
      <c r="H57" s="12" t="str">
        <f t="shared" si="1"/>
        <v>No reviews</v>
      </c>
      <c r="I57" s="12" t="str">
        <f t="shared" si="0"/>
        <v>Not Rated</v>
      </c>
      <c r="J57" s="13" t="str">
        <f t="shared" si="4"/>
        <v>High Discount</v>
      </c>
      <c r="K57" t="str">
        <f t="shared" si="3"/>
        <v>Medium</v>
      </c>
    </row>
    <row r="58" spans="1:11" x14ac:dyDescent="0.25">
      <c r="A58" s="12" t="s">
        <v>175</v>
      </c>
      <c r="B58" s="12">
        <v>799</v>
      </c>
      <c r="C58" s="12">
        <v>1567</v>
      </c>
      <c r="D58" s="12">
        <v>768</v>
      </c>
      <c r="E58" s="12">
        <v>0.49</v>
      </c>
      <c r="F58" s="12"/>
      <c r="G58" s="12" t="s">
        <v>323</v>
      </c>
      <c r="H58" s="12" t="str">
        <f t="shared" si="1"/>
        <v>No reviews</v>
      </c>
      <c r="I58" s="12" t="str">
        <f t="shared" si="0"/>
        <v>Not Rated</v>
      </c>
      <c r="J58" s="13" t="str">
        <f t="shared" si="4"/>
        <v>High Discount</v>
      </c>
      <c r="K58" t="str">
        <f t="shared" si="3"/>
        <v>Medium</v>
      </c>
    </row>
    <row r="59" spans="1:11" x14ac:dyDescent="0.25">
      <c r="A59" s="14" t="s">
        <v>177</v>
      </c>
      <c r="B59" s="14">
        <v>2799</v>
      </c>
      <c r="C59" s="14">
        <v>3810</v>
      </c>
      <c r="D59" s="14">
        <v>1011</v>
      </c>
      <c r="E59" s="14">
        <v>0.27</v>
      </c>
      <c r="F59" s="14"/>
      <c r="G59" s="14" t="s">
        <v>323</v>
      </c>
      <c r="H59" s="12" t="str">
        <f t="shared" si="1"/>
        <v>No reviews</v>
      </c>
      <c r="I59" s="12" t="str">
        <f t="shared" si="0"/>
        <v>Not Rated</v>
      </c>
      <c r="J59" s="13" t="str">
        <f t="shared" si="4"/>
        <v>Medium Discount</v>
      </c>
      <c r="K59" t="str">
        <f t="shared" si="3"/>
        <v>High</v>
      </c>
    </row>
    <row r="60" spans="1:11" x14ac:dyDescent="0.25">
      <c r="A60" s="12" t="s">
        <v>170</v>
      </c>
      <c r="B60" s="12">
        <v>399</v>
      </c>
      <c r="C60" s="12">
        <v>896</v>
      </c>
      <c r="D60" s="12">
        <v>497</v>
      </c>
      <c r="E60" s="12">
        <v>0.55000000000000004</v>
      </c>
      <c r="F60" s="12"/>
      <c r="G60" s="12" t="s">
        <v>323</v>
      </c>
      <c r="H60" s="12" t="str">
        <f t="shared" si="1"/>
        <v>No reviews</v>
      </c>
      <c r="I60" s="12" t="str">
        <f t="shared" si="0"/>
        <v>Not Rated</v>
      </c>
      <c r="J60" s="13" t="str">
        <f t="shared" si="4"/>
        <v>High Discount</v>
      </c>
      <c r="K60" t="str">
        <f t="shared" si="3"/>
        <v>Low</v>
      </c>
    </row>
    <row r="61" spans="1:11" x14ac:dyDescent="0.25">
      <c r="A61" s="14" t="s">
        <v>182</v>
      </c>
      <c r="B61" s="14">
        <v>2170</v>
      </c>
      <c r="C61" s="14">
        <v>2500</v>
      </c>
      <c r="D61" s="14">
        <v>330</v>
      </c>
      <c r="E61" s="14">
        <v>0.13</v>
      </c>
      <c r="F61" s="14">
        <v>6</v>
      </c>
      <c r="G61" s="14">
        <v>2.5</v>
      </c>
      <c r="H61" s="12" t="str">
        <f t="shared" si="1"/>
        <v>Medium</v>
      </c>
      <c r="I61" s="12" t="str">
        <f t="shared" si="0"/>
        <v>Poor</v>
      </c>
      <c r="J61" s="13" t="str">
        <f t="shared" si="4"/>
        <v>Low Discount</v>
      </c>
      <c r="K61" t="str">
        <f t="shared" si="3"/>
        <v>High</v>
      </c>
    </row>
    <row r="62" spans="1:11" x14ac:dyDescent="0.25">
      <c r="A62" s="12" t="s">
        <v>186</v>
      </c>
      <c r="B62" s="12">
        <v>458</v>
      </c>
      <c r="C62" s="12">
        <v>986</v>
      </c>
      <c r="D62" s="12">
        <v>528</v>
      </c>
      <c r="E62" s="12">
        <v>0.54</v>
      </c>
      <c r="F62" s="12">
        <v>10</v>
      </c>
      <c r="G62" s="12">
        <v>3</v>
      </c>
      <c r="H62" s="12" t="str">
        <f t="shared" si="1"/>
        <v>Medium</v>
      </c>
      <c r="I62" s="12" t="str">
        <f t="shared" si="0"/>
        <v>Average</v>
      </c>
      <c r="J62" s="13" t="str">
        <f t="shared" si="4"/>
        <v>High Discount</v>
      </c>
      <c r="K62" t="str">
        <f t="shared" si="3"/>
        <v>Low</v>
      </c>
    </row>
    <row r="63" spans="1:11" x14ac:dyDescent="0.25">
      <c r="A63" s="14" t="s">
        <v>190</v>
      </c>
      <c r="B63" s="14">
        <v>2115</v>
      </c>
      <c r="C63" s="14">
        <v>4700</v>
      </c>
      <c r="D63" s="14">
        <v>2585</v>
      </c>
      <c r="E63" s="14">
        <v>0.55000000000000004</v>
      </c>
      <c r="F63" s="14">
        <v>13</v>
      </c>
      <c r="G63" s="14">
        <v>2.1</v>
      </c>
      <c r="H63" s="12" t="str">
        <f t="shared" si="1"/>
        <v>Medium</v>
      </c>
      <c r="I63" s="12" t="str">
        <f t="shared" si="0"/>
        <v>Poor</v>
      </c>
      <c r="J63" s="13" t="str">
        <f t="shared" si="4"/>
        <v>High Discount</v>
      </c>
      <c r="K63" t="str">
        <f t="shared" si="3"/>
        <v>High</v>
      </c>
    </row>
    <row r="64" spans="1:11" x14ac:dyDescent="0.25">
      <c r="A64" s="12" t="s">
        <v>194</v>
      </c>
      <c r="B64" s="12">
        <v>445</v>
      </c>
      <c r="C64" s="12">
        <v>873</v>
      </c>
      <c r="D64" s="12">
        <v>428</v>
      </c>
      <c r="E64" s="12">
        <v>0.49</v>
      </c>
      <c r="F64" s="12">
        <v>69</v>
      </c>
      <c r="G64" s="12">
        <v>2.8</v>
      </c>
      <c r="H64" s="12" t="str">
        <f t="shared" si="1"/>
        <v>High</v>
      </c>
      <c r="I64" s="12" t="str">
        <f t="shared" si="0"/>
        <v>Poor</v>
      </c>
      <c r="J64" s="13" t="str">
        <f t="shared" si="4"/>
        <v>High Discount</v>
      </c>
      <c r="K64" t="str">
        <f t="shared" si="3"/>
        <v>Low</v>
      </c>
    </row>
    <row r="65" spans="1:11" x14ac:dyDescent="0.25">
      <c r="A65" s="14" t="s">
        <v>198</v>
      </c>
      <c r="B65" s="14">
        <v>325</v>
      </c>
      <c r="C65" s="14">
        <v>680</v>
      </c>
      <c r="D65" s="14">
        <v>355</v>
      </c>
      <c r="E65" s="14">
        <v>0.52</v>
      </c>
      <c r="F65" s="14">
        <v>15</v>
      </c>
      <c r="G65" s="14">
        <v>2.7</v>
      </c>
      <c r="H65" s="12" t="str">
        <f t="shared" si="1"/>
        <v>Medium</v>
      </c>
      <c r="I65" s="12" t="str">
        <f t="shared" si="0"/>
        <v>Poor</v>
      </c>
      <c r="J65" s="13" t="str">
        <f t="shared" si="4"/>
        <v>High Discount</v>
      </c>
      <c r="K65" t="str">
        <f t="shared" si="3"/>
        <v>Low</v>
      </c>
    </row>
    <row r="66" spans="1:11" x14ac:dyDescent="0.25">
      <c r="A66" s="12" t="s">
        <v>202</v>
      </c>
      <c r="B66" s="12">
        <v>1220</v>
      </c>
      <c r="C66" s="12">
        <v>1555</v>
      </c>
      <c r="D66" s="12">
        <v>335</v>
      </c>
      <c r="E66" s="12">
        <v>0.22</v>
      </c>
      <c r="F66" s="12">
        <v>16</v>
      </c>
      <c r="G66" s="12">
        <v>2.9</v>
      </c>
      <c r="H66" s="12" t="str">
        <f t="shared" si="1"/>
        <v>Medium</v>
      </c>
      <c r="I66" s="12" t="str">
        <f t="shared" ref="I66:I113" si="5">IF(G66="","Not Rated",IF(G66&lt;3,"Poor",IF(G66&lt;4,"Average","Excellent")))</f>
        <v>Poor</v>
      </c>
      <c r="J66" s="13" t="str">
        <f t="shared" ref="J66:J97" si="6">IF(E66&lt;0.2,"Low Discount",IF(E66&lt;0.4,"Medium Discount","High Discount"))</f>
        <v>Medium Discount</v>
      </c>
      <c r="K66" t="str">
        <f t="shared" si="3"/>
        <v>Medium</v>
      </c>
    </row>
    <row r="67" spans="1:11" x14ac:dyDescent="0.25">
      <c r="A67" s="14" t="s">
        <v>206</v>
      </c>
      <c r="B67" s="14">
        <v>990</v>
      </c>
      <c r="C67" s="14">
        <v>1814</v>
      </c>
      <c r="D67" s="14">
        <v>824</v>
      </c>
      <c r="E67" s="14">
        <v>0.45</v>
      </c>
      <c r="F67" s="14">
        <v>6</v>
      </c>
      <c r="G67" s="14">
        <v>2.2000000000000002</v>
      </c>
      <c r="H67" s="12" t="str">
        <f t="shared" ref="H67:H113" si="7">IF(F67="","No reviews",IF(F67&gt;=20,"High",IF(F67&gt;=5,"Medium","Low")))</f>
        <v>Medium</v>
      </c>
      <c r="I67" s="12" t="str">
        <f t="shared" si="5"/>
        <v>Poor</v>
      </c>
      <c r="J67" s="13" t="str">
        <f t="shared" si="6"/>
        <v>High Discount</v>
      </c>
      <c r="K67" t="str">
        <f t="shared" ref="K67:K113" si="8">IF(B67&lt;500,"Low",IF(B67&lt;1500,"Medium",IF(B67&lt;3000,"High","Premium")))</f>
        <v>Medium</v>
      </c>
    </row>
    <row r="68" spans="1:11" x14ac:dyDescent="0.25">
      <c r="A68" s="12" t="s">
        <v>209</v>
      </c>
      <c r="B68" s="12">
        <v>1000</v>
      </c>
      <c r="C68" s="12">
        <v>2000</v>
      </c>
      <c r="D68" s="12">
        <v>1000</v>
      </c>
      <c r="E68" s="12">
        <v>0.5</v>
      </c>
      <c r="F68" s="12">
        <v>7</v>
      </c>
      <c r="G68" s="12">
        <v>2.2999999999999998</v>
      </c>
      <c r="H68" s="12" t="str">
        <f t="shared" si="7"/>
        <v>Medium</v>
      </c>
      <c r="I68" s="12" t="str">
        <f t="shared" si="5"/>
        <v>Poor</v>
      </c>
      <c r="J68" s="13" t="str">
        <f t="shared" si="6"/>
        <v>High Discount</v>
      </c>
      <c r="K68" t="str">
        <f t="shared" si="8"/>
        <v>Medium</v>
      </c>
    </row>
    <row r="69" spans="1:11" x14ac:dyDescent="0.25">
      <c r="A69" s="14" t="s">
        <v>212</v>
      </c>
      <c r="B69" s="14">
        <v>3750</v>
      </c>
      <c r="C69" s="14">
        <v>6143</v>
      </c>
      <c r="D69" s="14">
        <v>2393</v>
      </c>
      <c r="E69" s="14">
        <v>0.39</v>
      </c>
      <c r="F69" s="14">
        <v>5</v>
      </c>
      <c r="G69" s="14">
        <v>3</v>
      </c>
      <c r="H69" s="12" t="str">
        <f t="shared" si="7"/>
        <v>Medium</v>
      </c>
      <c r="I69" s="12" t="str">
        <f t="shared" si="5"/>
        <v>Average</v>
      </c>
      <c r="J69" s="13" t="str">
        <f t="shared" si="6"/>
        <v>Medium Discount</v>
      </c>
      <c r="K69" t="str">
        <f t="shared" si="8"/>
        <v>Premium</v>
      </c>
    </row>
    <row r="70" spans="1:11" x14ac:dyDescent="0.25">
      <c r="A70" s="12" t="s">
        <v>215</v>
      </c>
      <c r="B70" s="12">
        <v>382</v>
      </c>
      <c r="C70" s="12">
        <v>700</v>
      </c>
      <c r="D70" s="12">
        <v>318</v>
      </c>
      <c r="E70" s="12">
        <v>0.45</v>
      </c>
      <c r="F70" s="12">
        <v>17</v>
      </c>
      <c r="G70" s="12">
        <v>2.6</v>
      </c>
      <c r="H70" s="12" t="str">
        <f t="shared" si="7"/>
        <v>Medium</v>
      </c>
      <c r="I70" s="12" t="str">
        <f t="shared" si="5"/>
        <v>Poor</v>
      </c>
      <c r="J70" s="13" t="str">
        <f t="shared" si="6"/>
        <v>High Discount</v>
      </c>
      <c r="K70" t="str">
        <f t="shared" si="8"/>
        <v>Low</v>
      </c>
    </row>
    <row r="71" spans="1:11" x14ac:dyDescent="0.25">
      <c r="A71" s="14" t="s">
        <v>218</v>
      </c>
      <c r="B71" s="14">
        <v>2300</v>
      </c>
      <c r="C71" s="14">
        <v>3240</v>
      </c>
      <c r="D71" s="14">
        <v>940</v>
      </c>
      <c r="E71" s="14">
        <v>0.28999999999999998</v>
      </c>
      <c r="F71" s="14">
        <v>5</v>
      </c>
      <c r="G71" s="14">
        <v>3</v>
      </c>
      <c r="H71" s="12" t="str">
        <f t="shared" si="7"/>
        <v>Medium</v>
      </c>
      <c r="I71" s="12" t="str">
        <f t="shared" si="5"/>
        <v>Average</v>
      </c>
      <c r="J71" s="13" t="str">
        <f t="shared" si="6"/>
        <v>Medium Discount</v>
      </c>
      <c r="K71" t="str">
        <f t="shared" si="8"/>
        <v>High</v>
      </c>
    </row>
    <row r="72" spans="1:11" x14ac:dyDescent="0.25">
      <c r="A72" s="12" t="s">
        <v>221</v>
      </c>
      <c r="B72" s="12">
        <v>345</v>
      </c>
      <c r="C72" s="12">
        <v>602</v>
      </c>
      <c r="D72" s="12">
        <v>257</v>
      </c>
      <c r="E72" s="12">
        <v>0.43</v>
      </c>
      <c r="F72" s="12">
        <v>6</v>
      </c>
      <c r="G72" s="12">
        <v>2.2999999999999998</v>
      </c>
      <c r="H72" s="12" t="str">
        <f t="shared" si="7"/>
        <v>Medium</v>
      </c>
      <c r="I72" s="12" t="str">
        <f t="shared" si="5"/>
        <v>Poor</v>
      </c>
      <c r="J72" s="13" t="str">
        <f t="shared" si="6"/>
        <v>High Discount</v>
      </c>
      <c r="K72" t="str">
        <f t="shared" si="8"/>
        <v>Low</v>
      </c>
    </row>
    <row r="73" spans="1:11" x14ac:dyDescent="0.25">
      <c r="A73" s="14" t="s">
        <v>224</v>
      </c>
      <c r="B73" s="14">
        <v>509</v>
      </c>
      <c r="C73" s="14">
        <v>899</v>
      </c>
      <c r="D73" s="14">
        <v>390</v>
      </c>
      <c r="E73" s="14">
        <v>0.43</v>
      </c>
      <c r="F73" s="14">
        <v>5</v>
      </c>
      <c r="G73" s="14">
        <v>3</v>
      </c>
      <c r="H73" s="12" t="str">
        <f t="shared" si="7"/>
        <v>Medium</v>
      </c>
      <c r="I73" s="12" t="str">
        <f t="shared" si="5"/>
        <v>Average</v>
      </c>
      <c r="J73" s="13" t="str">
        <f t="shared" si="6"/>
        <v>High Discount</v>
      </c>
      <c r="K73" t="str">
        <f t="shared" si="8"/>
        <v>Medium</v>
      </c>
    </row>
    <row r="74" spans="1:11" x14ac:dyDescent="0.25">
      <c r="A74" s="12" t="s">
        <v>227</v>
      </c>
      <c r="B74" s="12">
        <v>968</v>
      </c>
      <c r="C74" s="12">
        <v>1814</v>
      </c>
      <c r="D74" s="12">
        <v>846</v>
      </c>
      <c r="E74" s="12">
        <v>0.47</v>
      </c>
      <c r="F74" s="12">
        <v>6</v>
      </c>
      <c r="G74" s="12">
        <v>2.2000000000000002</v>
      </c>
      <c r="H74" s="12" t="str">
        <f t="shared" si="7"/>
        <v>Medium</v>
      </c>
      <c r="I74" s="12" t="str">
        <f t="shared" si="5"/>
        <v>Poor</v>
      </c>
      <c r="J74" s="13" t="str">
        <f t="shared" si="6"/>
        <v>High Discount</v>
      </c>
      <c r="K74" t="str">
        <f t="shared" si="8"/>
        <v>Medium</v>
      </c>
    </row>
    <row r="75" spans="1:11" x14ac:dyDescent="0.25">
      <c r="A75" s="14" t="s">
        <v>229</v>
      </c>
      <c r="B75" s="14">
        <v>1570</v>
      </c>
      <c r="C75" s="14">
        <v>2988</v>
      </c>
      <c r="D75" s="14">
        <v>1418</v>
      </c>
      <c r="E75" s="14">
        <v>0.47</v>
      </c>
      <c r="F75" s="14">
        <v>7</v>
      </c>
      <c r="G75" s="14">
        <v>2.1</v>
      </c>
      <c r="H75" s="12" t="str">
        <f t="shared" si="7"/>
        <v>Medium</v>
      </c>
      <c r="I75" s="12" t="str">
        <f t="shared" si="5"/>
        <v>Poor</v>
      </c>
      <c r="J75" s="13" t="str">
        <f t="shared" si="6"/>
        <v>High Discount</v>
      </c>
      <c r="K75" t="str">
        <f t="shared" si="8"/>
        <v>High</v>
      </c>
    </row>
    <row r="76" spans="1:11" x14ac:dyDescent="0.25">
      <c r="A76" s="12" t="s">
        <v>232</v>
      </c>
      <c r="B76" s="12">
        <v>790</v>
      </c>
      <c r="C76" s="12">
        <v>1485</v>
      </c>
      <c r="D76" s="12">
        <v>695</v>
      </c>
      <c r="E76" s="12">
        <v>0.47</v>
      </c>
      <c r="F76" s="12"/>
      <c r="G76" s="12" t="s">
        <v>323</v>
      </c>
      <c r="H76" s="12" t="str">
        <f t="shared" si="7"/>
        <v>No reviews</v>
      </c>
      <c r="I76" s="12" t="str">
        <f t="shared" si="5"/>
        <v>Not Rated</v>
      </c>
      <c r="J76" s="13" t="str">
        <f t="shared" si="6"/>
        <v>High Discount</v>
      </c>
      <c r="K76" t="str">
        <f t="shared" si="8"/>
        <v>Medium</v>
      </c>
    </row>
    <row r="77" spans="1:11" x14ac:dyDescent="0.25">
      <c r="A77" s="14" t="s">
        <v>235</v>
      </c>
      <c r="B77" s="14">
        <v>690</v>
      </c>
      <c r="C77" s="14">
        <v>1200</v>
      </c>
      <c r="D77" s="14">
        <v>510</v>
      </c>
      <c r="E77" s="14">
        <v>0.43</v>
      </c>
      <c r="F77" s="14"/>
      <c r="G77" s="14" t="s">
        <v>323</v>
      </c>
      <c r="H77" s="12" t="str">
        <f t="shared" si="7"/>
        <v>No reviews</v>
      </c>
      <c r="I77" s="12" t="str">
        <f t="shared" si="5"/>
        <v>Not Rated</v>
      </c>
      <c r="J77" s="13" t="str">
        <f t="shared" si="6"/>
        <v>High Discount</v>
      </c>
      <c r="K77" t="str">
        <f t="shared" si="8"/>
        <v>Medium</v>
      </c>
    </row>
    <row r="78" spans="1:11" x14ac:dyDescent="0.25">
      <c r="A78" s="12" t="s">
        <v>237</v>
      </c>
      <c r="B78" s="12">
        <v>1732</v>
      </c>
      <c r="C78" s="12">
        <v>1799</v>
      </c>
      <c r="D78" s="12">
        <v>67</v>
      </c>
      <c r="E78" s="12">
        <v>0.04</v>
      </c>
      <c r="F78" s="12"/>
      <c r="G78" s="12" t="s">
        <v>323</v>
      </c>
      <c r="H78" s="12" t="str">
        <f t="shared" si="7"/>
        <v>No reviews</v>
      </c>
      <c r="I78" s="12" t="str">
        <f t="shared" si="5"/>
        <v>Not Rated</v>
      </c>
      <c r="J78" s="13" t="str">
        <f t="shared" si="6"/>
        <v>Low Discount</v>
      </c>
      <c r="K78" t="str">
        <f t="shared" si="8"/>
        <v>High</v>
      </c>
    </row>
    <row r="79" spans="1:11" x14ac:dyDescent="0.25">
      <c r="A79" s="14" t="s">
        <v>240</v>
      </c>
      <c r="B79" s="14">
        <v>230</v>
      </c>
      <c r="C79" s="14">
        <v>450</v>
      </c>
      <c r="D79" s="14">
        <v>220</v>
      </c>
      <c r="E79" s="14">
        <v>0.49</v>
      </c>
      <c r="F79" s="14"/>
      <c r="G79" s="14" t="s">
        <v>323</v>
      </c>
      <c r="H79" s="12" t="str">
        <f t="shared" si="7"/>
        <v>No reviews</v>
      </c>
      <c r="I79" s="12" t="str">
        <f t="shared" si="5"/>
        <v>Not Rated</v>
      </c>
      <c r="J79" s="13" t="str">
        <f t="shared" si="6"/>
        <v>High Discount</v>
      </c>
      <c r="K79" t="str">
        <f t="shared" si="8"/>
        <v>Low</v>
      </c>
    </row>
    <row r="80" spans="1:11" x14ac:dyDescent="0.25">
      <c r="A80" s="12" t="s">
        <v>243</v>
      </c>
      <c r="B80" s="12">
        <v>1189</v>
      </c>
      <c r="C80" s="12">
        <v>2199</v>
      </c>
      <c r="D80" s="12">
        <v>1010</v>
      </c>
      <c r="E80" s="12">
        <v>0.46</v>
      </c>
      <c r="F80" s="12">
        <v>1</v>
      </c>
      <c r="G80" s="12">
        <v>3</v>
      </c>
      <c r="H80" s="12" t="str">
        <f t="shared" si="7"/>
        <v>Low</v>
      </c>
      <c r="I80" s="12" t="str">
        <f t="shared" si="5"/>
        <v>Average</v>
      </c>
      <c r="J80" s="13" t="str">
        <f t="shared" si="6"/>
        <v>High Discount</v>
      </c>
      <c r="K80" t="str">
        <f t="shared" si="8"/>
        <v>Medium</v>
      </c>
    </row>
    <row r="81" spans="1:11" x14ac:dyDescent="0.25">
      <c r="A81" s="14" t="s">
        <v>245</v>
      </c>
      <c r="B81" s="14">
        <v>979</v>
      </c>
      <c r="C81" s="14">
        <v>1920</v>
      </c>
      <c r="D81" s="14">
        <v>941</v>
      </c>
      <c r="E81" s="14">
        <v>0.49</v>
      </c>
      <c r="F81" s="14">
        <v>1</v>
      </c>
      <c r="G81" s="14">
        <v>5</v>
      </c>
      <c r="H81" s="12" t="str">
        <f t="shared" si="7"/>
        <v>Low</v>
      </c>
      <c r="I81" s="12" t="str">
        <f t="shared" si="5"/>
        <v>Excellent</v>
      </c>
      <c r="J81" s="13" t="str">
        <f t="shared" si="6"/>
        <v>High Discount</v>
      </c>
      <c r="K81" t="str">
        <f t="shared" si="8"/>
        <v>Medium</v>
      </c>
    </row>
    <row r="82" spans="1:11" x14ac:dyDescent="0.25">
      <c r="A82" s="12" t="s">
        <v>248</v>
      </c>
      <c r="B82" s="12">
        <v>1460</v>
      </c>
      <c r="C82" s="12">
        <v>2290</v>
      </c>
      <c r="D82" s="12">
        <v>830</v>
      </c>
      <c r="E82" s="12">
        <v>0.36</v>
      </c>
      <c r="F82" s="12"/>
      <c r="G82" s="12" t="s">
        <v>323</v>
      </c>
      <c r="H82" s="12" t="str">
        <f t="shared" si="7"/>
        <v>No reviews</v>
      </c>
      <c r="I82" s="12" t="str">
        <f t="shared" si="5"/>
        <v>Not Rated</v>
      </c>
      <c r="J82" s="13" t="str">
        <f t="shared" si="6"/>
        <v>Medium Discount</v>
      </c>
      <c r="K82" t="str">
        <f t="shared" si="8"/>
        <v>Medium</v>
      </c>
    </row>
    <row r="83" spans="1:11" x14ac:dyDescent="0.25">
      <c r="A83" s="14" t="s">
        <v>251</v>
      </c>
      <c r="B83" s="14">
        <v>1666</v>
      </c>
      <c r="C83" s="14">
        <v>1699</v>
      </c>
      <c r="D83" s="14">
        <v>33</v>
      </c>
      <c r="E83" s="14">
        <v>0.02</v>
      </c>
      <c r="F83" s="14"/>
      <c r="G83" s="14" t="s">
        <v>323</v>
      </c>
      <c r="H83" s="12" t="str">
        <f t="shared" si="7"/>
        <v>No reviews</v>
      </c>
      <c r="I83" s="12" t="str">
        <f t="shared" si="5"/>
        <v>Not Rated</v>
      </c>
      <c r="J83" s="13" t="str">
        <f t="shared" si="6"/>
        <v>Low Discount</v>
      </c>
      <c r="K83" t="str">
        <f t="shared" si="8"/>
        <v>High</v>
      </c>
    </row>
    <row r="84" spans="1:11" x14ac:dyDescent="0.25">
      <c r="A84" s="12" t="s">
        <v>253</v>
      </c>
      <c r="B84" s="12">
        <v>330</v>
      </c>
      <c r="C84" s="12">
        <v>647</v>
      </c>
      <c r="D84" s="12">
        <v>317</v>
      </c>
      <c r="E84" s="12">
        <v>0.49</v>
      </c>
      <c r="F84" s="12">
        <v>1</v>
      </c>
      <c r="G84" s="12">
        <v>4</v>
      </c>
      <c r="H84" s="12" t="str">
        <f t="shared" si="7"/>
        <v>Low</v>
      </c>
      <c r="I84" s="12" t="str">
        <f t="shared" si="5"/>
        <v>Excellent</v>
      </c>
      <c r="J84" s="13" t="str">
        <f t="shared" si="6"/>
        <v>High Discount</v>
      </c>
      <c r="K84" t="str">
        <f t="shared" si="8"/>
        <v>Low</v>
      </c>
    </row>
    <row r="85" spans="1:11" x14ac:dyDescent="0.25">
      <c r="A85" s="14" t="s">
        <v>154</v>
      </c>
      <c r="B85" s="14">
        <v>176</v>
      </c>
      <c r="C85" s="14">
        <v>345</v>
      </c>
      <c r="D85" s="14">
        <v>169</v>
      </c>
      <c r="E85" s="14">
        <v>0.49</v>
      </c>
      <c r="F85" s="14"/>
      <c r="G85" s="14" t="s">
        <v>323</v>
      </c>
      <c r="H85" s="12" t="str">
        <f t="shared" si="7"/>
        <v>No reviews</v>
      </c>
      <c r="I85" s="12" t="str">
        <f t="shared" si="5"/>
        <v>Not Rated</v>
      </c>
      <c r="J85" s="13" t="str">
        <f t="shared" si="6"/>
        <v>High Discount</v>
      </c>
      <c r="K85" t="str">
        <f t="shared" si="8"/>
        <v>Low</v>
      </c>
    </row>
    <row r="86" spans="1:11" x14ac:dyDescent="0.25">
      <c r="A86" s="12" t="s">
        <v>256</v>
      </c>
      <c r="B86" s="12">
        <v>1466</v>
      </c>
      <c r="C86" s="12">
        <v>1699</v>
      </c>
      <c r="D86" s="12">
        <v>233</v>
      </c>
      <c r="E86" s="12">
        <v>0.14000000000000001</v>
      </c>
      <c r="F86" s="12"/>
      <c r="G86" s="12" t="s">
        <v>323</v>
      </c>
      <c r="H86" s="12" t="str">
        <f t="shared" si="7"/>
        <v>No reviews</v>
      </c>
      <c r="I86" s="12" t="str">
        <f t="shared" si="5"/>
        <v>Not Rated</v>
      </c>
      <c r="J86" s="13" t="str">
        <f t="shared" si="6"/>
        <v>Low Discount</v>
      </c>
      <c r="K86" t="str">
        <f t="shared" si="8"/>
        <v>Medium</v>
      </c>
    </row>
    <row r="87" spans="1:11" x14ac:dyDescent="0.25">
      <c r="A87" s="14" t="s">
        <v>258</v>
      </c>
      <c r="B87" s="14">
        <v>274</v>
      </c>
      <c r="C87" s="14">
        <v>537</v>
      </c>
      <c r="D87" s="14">
        <v>263</v>
      </c>
      <c r="E87" s="14">
        <v>0.49</v>
      </c>
      <c r="F87" s="14"/>
      <c r="G87" s="14" t="s">
        <v>323</v>
      </c>
      <c r="H87" s="12" t="str">
        <f t="shared" si="7"/>
        <v>No reviews</v>
      </c>
      <c r="I87" s="12" t="str">
        <f t="shared" si="5"/>
        <v>Not Rated</v>
      </c>
      <c r="J87" s="13" t="str">
        <f t="shared" si="6"/>
        <v>High Discount</v>
      </c>
      <c r="K87" t="str">
        <f t="shared" si="8"/>
        <v>Low</v>
      </c>
    </row>
    <row r="88" spans="1:11" x14ac:dyDescent="0.25">
      <c r="A88" s="12" t="s">
        <v>261</v>
      </c>
      <c r="B88" s="12">
        <v>799</v>
      </c>
      <c r="C88" s="12">
        <v>900</v>
      </c>
      <c r="D88" s="12">
        <v>101</v>
      </c>
      <c r="E88" s="12">
        <v>0.11</v>
      </c>
      <c r="F88" s="12"/>
      <c r="G88" s="12" t="s">
        <v>323</v>
      </c>
      <c r="H88" s="12" t="str">
        <f t="shared" si="7"/>
        <v>No reviews</v>
      </c>
      <c r="I88" s="12" t="str">
        <f t="shared" si="5"/>
        <v>Not Rated</v>
      </c>
      <c r="J88" s="13" t="str">
        <f t="shared" si="6"/>
        <v>Low Discount</v>
      </c>
      <c r="K88" t="str">
        <f t="shared" si="8"/>
        <v>Medium</v>
      </c>
    </row>
    <row r="89" spans="1:11" x14ac:dyDescent="0.25">
      <c r="A89" s="14" t="s">
        <v>175</v>
      </c>
      <c r="B89" s="14">
        <v>657</v>
      </c>
      <c r="C89" s="14">
        <v>1288</v>
      </c>
      <c r="D89" s="14">
        <v>631</v>
      </c>
      <c r="E89" s="14">
        <v>0.49</v>
      </c>
      <c r="F89" s="14"/>
      <c r="G89" s="14" t="s">
        <v>323</v>
      </c>
      <c r="H89" s="12" t="str">
        <f t="shared" si="7"/>
        <v>No reviews</v>
      </c>
      <c r="I89" s="12" t="str">
        <f t="shared" si="5"/>
        <v>Not Rated</v>
      </c>
      <c r="J89" s="13" t="str">
        <f t="shared" si="6"/>
        <v>High Discount</v>
      </c>
      <c r="K89" t="str">
        <f t="shared" si="8"/>
        <v>Medium</v>
      </c>
    </row>
    <row r="90" spans="1:11" x14ac:dyDescent="0.25">
      <c r="A90" s="12" t="s">
        <v>264</v>
      </c>
      <c r="B90" s="12">
        <v>1468</v>
      </c>
      <c r="C90" s="12">
        <v>1699</v>
      </c>
      <c r="D90" s="12">
        <v>231</v>
      </c>
      <c r="E90" s="12">
        <v>0.14000000000000001</v>
      </c>
      <c r="F90" s="12"/>
      <c r="G90" s="12" t="s">
        <v>323</v>
      </c>
      <c r="H90" s="12" t="str">
        <f t="shared" si="7"/>
        <v>No reviews</v>
      </c>
      <c r="I90" s="12" t="str">
        <f t="shared" si="5"/>
        <v>Not Rated</v>
      </c>
      <c r="J90" s="13" t="str">
        <f t="shared" si="6"/>
        <v>Low Discount</v>
      </c>
      <c r="K90" t="str">
        <f t="shared" si="8"/>
        <v>Medium</v>
      </c>
    </row>
    <row r="91" spans="1:11" x14ac:dyDescent="0.25">
      <c r="A91" s="14" t="s">
        <v>266</v>
      </c>
      <c r="B91" s="14">
        <v>630</v>
      </c>
      <c r="C91" s="14">
        <v>1100</v>
      </c>
      <c r="D91" s="14">
        <v>470</v>
      </c>
      <c r="E91" s="14">
        <v>0.43</v>
      </c>
      <c r="F91" s="14"/>
      <c r="G91" s="14" t="s">
        <v>323</v>
      </c>
      <c r="H91" s="12" t="str">
        <f t="shared" si="7"/>
        <v>No reviews</v>
      </c>
      <c r="I91" s="12" t="str">
        <f t="shared" si="5"/>
        <v>Not Rated</v>
      </c>
      <c r="J91" s="13" t="str">
        <f t="shared" si="6"/>
        <v>High Discount</v>
      </c>
      <c r="K91" t="str">
        <f t="shared" si="8"/>
        <v>Medium</v>
      </c>
    </row>
    <row r="92" spans="1:11" x14ac:dyDescent="0.25">
      <c r="A92" s="12" t="s">
        <v>269</v>
      </c>
      <c r="B92" s="12">
        <v>850</v>
      </c>
      <c r="C92" s="12">
        <v>1700</v>
      </c>
      <c r="D92" s="12">
        <v>850</v>
      </c>
      <c r="E92" s="12">
        <v>0.5</v>
      </c>
      <c r="F92" s="12"/>
      <c r="G92" s="12" t="s">
        <v>323</v>
      </c>
      <c r="H92" s="12" t="str">
        <f t="shared" si="7"/>
        <v>No reviews</v>
      </c>
      <c r="I92" s="12" t="str">
        <f t="shared" si="5"/>
        <v>Not Rated</v>
      </c>
      <c r="J92" s="13" t="str">
        <f t="shared" si="6"/>
        <v>High Discount</v>
      </c>
      <c r="K92" t="str">
        <f t="shared" si="8"/>
        <v>Medium</v>
      </c>
    </row>
    <row r="93" spans="1:11" x14ac:dyDescent="0.25">
      <c r="A93" s="14" t="s">
        <v>272</v>
      </c>
      <c r="B93" s="14">
        <v>1300</v>
      </c>
      <c r="C93" s="14">
        <v>2500</v>
      </c>
      <c r="D93" s="14">
        <v>1200</v>
      </c>
      <c r="E93" s="14">
        <v>0.48</v>
      </c>
      <c r="F93" s="14"/>
      <c r="G93" s="14" t="s">
        <v>323</v>
      </c>
      <c r="H93" s="12" t="str">
        <f t="shared" si="7"/>
        <v>No reviews</v>
      </c>
      <c r="I93" s="12" t="str">
        <f t="shared" si="5"/>
        <v>Not Rated</v>
      </c>
      <c r="J93" s="13" t="str">
        <f t="shared" si="6"/>
        <v>High Discount</v>
      </c>
      <c r="K93" t="str">
        <f t="shared" si="8"/>
        <v>Medium</v>
      </c>
    </row>
    <row r="94" spans="1:11" x14ac:dyDescent="0.25">
      <c r="A94" s="12" t="s">
        <v>274</v>
      </c>
      <c r="B94" s="12">
        <v>105</v>
      </c>
      <c r="C94" s="12">
        <v>200</v>
      </c>
      <c r="D94" s="12">
        <v>95</v>
      </c>
      <c r="E94" s="12">
        <v>0.48</v>
      </c>
      <c r="F94" s="12"/>
      <c r="G94" s="12" t="s">
        <v>323</v>
      </c>
      <c r="H94" s="12" t="str">
        <f t="shared" si="7"/>
        <v>No reviews</v>
      </c>
      <c r="I94" s="12" t="str">
        <f t="shared" si="5"/>
        <v>Not Rated</v>
      </c>
      <c r="J94" s="13" t="str">
        <f t="shared" si="6"/>
        <v>High Discount</v>
      </c>
      <c r="K94" t="str">
        <f t="shared" si="8"/>
        <v>Low</v>
      </c>
    </row>
    <row r="95" spans="1:11" x14ac:dyDescent="0.25">
      <c r="A95" s="14" t="s">
        <v>277</v>
      </c>
      <c r="B95" s="14">
        <v>899</v>
      </c>
      <c r="C95" s="14">
        <v>1699</v>
      </c>
      <c r="D95" s="14">
        <v>800</v>
      </c>
      <c r="E95" s="14">
        <v>0.47</v>
      </c>
      <c r="F95" s="14"/>
      <c r="G95" s="14" t="s">
        <v>323</v>
      </c>
      <c r="H95" s="12" t="str">
        <f t="shared" si="7"/>
        <v>No reviews</v>
      </c>
      <c r="I95" s="12" t="str">
        <f t="shared" si="5"/>
        <v>Not Rated</v>
      </c>
      <c r="J95" s="13" t="str">
        <f t="shared" si="6"/>
        <v>High Discount</v>
      </c>
      <c r="K95" t="str">
        <f t="shared" si="8"/>
        <v>Medium</v>
      </c>
    </row>
    <row r="96" spans="1:11" x14ac:dyDescent="0.25">
      <c r="A96" s="12" t="s">
        <v>278</v>
      </c>
      <c r="B96" s="12">
        <v>1200</v>
      </c>
      <c r="C96" s="12">
        <v>2400</v>
      </c>
      <c r="D96" s="12">
        <v>1200</v>
      </c>
      <c r="E96" s="12">
        <v>0.5</v>
      </c>
      <c r="F96" s="12"/>
      <c r="G96" s="12" t="s">
        <v>323</v>
      </c>
      <c r="H96" s="12" t="str">
        <f t="shared" si="7"/>
        <v>No reviews</v>
      </c>
      <c r="I96" s="12" t="str">
        <f t="shared" si="5"/>
        <v>Not Rated</v>
      </c>
      <c r="J96" s="13" t="str">
        <f t="shared" si="6"/>
        <v>High Discount</v>
      </c>
      <c r="K96" t="str">
        <f t="shared" si="8"/>
        <v>Medium</v>
      </c>
    </row>
    <row r="97" spans="1:11" x14ac:dyDescent="0.25">
      <c r="A97" s="14" t="s">
        <v>280</v>
      </c>
      <c r="B97" s="14">
        <v>1526</v>
      </c>
      <c r="C97" s="14">
        <v>1660</v>
      </c>
      <c r="D97" s="14">
        <v>134</v>
      </c>
      <c r="E97" s="14">
        <v>0.08</v>
      </c>
      <c r="F97" s="14"/>
      <c r="G97" s="14" t="s">
        <v>323</v>
      </c>
      <c r="H97" s="12" t="str">
        <f t="shared" si="7"/>
        <v>No reviews</v>
      </c>
      <c r="I97" s="12" t="str">
        <f t="shared" si="5"/>
        <v>Not Rated</v>
      </c>
      <c r="J97" s="13" t="str">
        <f t="shared" si="6"/>
        <v>Low Discount</v>
      </c>
      <c r="K97" t="str">
        <f t="shared" si="8"/>
        <v>High</v>
      </c>
    </row>
    <row r="98" spans="1:11" x14ac:dyDescent="0.25">
      <c r="A98" s="12" t="s">
        <v>282</v>
      </c>
      <c r="B98" s="12">
        <v>1462</v>
      </c>
      <c r="C98" s="12">
        <v>1499</v>
      </c>
      <c r="D98" s="12">
        <v>37</v>
      </c>
      <c r="E98" s="12">
        <v>0.02</v>
      </c>
      <c r="F98" s="12"/>
      <c r="G98" s="12" t="s">
        <v>323</v>
      </c>
      <c r="H98" s="12" t="str">
        <f t="shared" si="7"/>
        <v>No reviews</v>
      </c>
      <c r="I98" s="12" t="str">
        <f t="shared" si="5"/>
        <v>Not Rated</v>
      </c>
      <c r="J98" s="13" t="str">
        <f t="shared" ref="J98:J113" si="9">IF(E98&lt;0.2,"Low Discount",IF(E98&lt;0.4,"Medium Discount","High Discount"))</f>
        <v>Low Discount</v>
      </c>
      <c r="K98" t="str">
        <f t="shared" si="8"/>
        <v>Medium</v>
      </c>
    </row>
    <row r="99" spans="1:11" x14ac:dyDescent="0.25">
      <c r="A99" s="14" t="s">
        <v>284</v>
      </c>
      <c r="B99" s="14">
        <v>248</v>
      </c>
      <c r="C99" s="14">
        <v>486</v>
      </c>
      <c r="D99" s="14">
        <v>238</v>
      </c>
      <c r="E99" s="14">
        <v>0.49</v>
      </c>
      <c r="F99" s="14"/>
      <c r="G99" s="14" t="s">
        <v>323</v>
      </c>
      <c r="H99" s="12" t="str">
        <f t="shared" si="7"/>
        <v>No reviews</v>
      </c>
      <c r="I99" s="12" t="str">
        <f t="shared" si="5"/>
        <v>Not Rated</v>
      </c>
      <c r="J99" s="13" t="str">
        <f t="shared" si="9"/>
        <v>High Discount</v>
      </c>
      <c r="K99" t="str">
        <f t="shared" si="8"/>
        <v>Low</v>
      </c>
    </row>
    <row r="100" spans="1:11" x14ac:dyDescent="0.25">
      <c r="A100" s="12" t="s">
        <v>287</v>
      </c>
      <c r="B100" s="12">
        <v>3546</v>
      </c>
      <c r="C100" s="12">
        <v>3699</v>
      </c>
      <c r="D100" s="12">
        <v>153</v>
      </c>
      <c r="E100" s="12">
        <v>0.04</v>
      </c>
      <c r="F100" s="12"/>
      <c r="G100" s="12" t="s">
        <v>323</v>
      </c>
      <c r="H100" s="12" t="str">
        <f t="shared" si="7"/>
        <v>No reviews</v>
      </c>
      <c r="I100" s="12" t="str">
        <f t="shared" si="5"/>
        <v>Not Rated</v>
      </c>
      <c r="J100" s="13" t="str">
        <f t="shared" si="9"/>
        <v>Low Discount</v>
      </c>
      <c r="K100" t="str">
        <f t="shared" si="8"/>
        <v>Premium</v>
      </c>
    </row>
    <row r="101" spans="1:11" x14ac:dyDescent="0.25">
      <c r="A101" s="14" t="s">
        <v>289</v>
      </c>
      <c r="B101" s="14">
        <v>525</v>
      </c>
      <c r="C101" s="14">
        <v>1029</v>
      </c>
      <c r="D101" s="14">
        <v>504</v>
      </c>
      <c r="E101" s="14">
        <v>0.49</v>
      </c>
      <c r="F101" s="14"/>
      <c r="G101" s="14" t="s">
        <v>323</v>
      </c>
      <c r="H101" s="12" t="str">
        <f t="shared" si="7"/>
        <v>No reviews</v>
      </c>
      <c r="I101" s="12" t="str">
        <f t="shared" si="5"/>
        <v>Not Rated</v>
      </c>
      <c r="J101" s="13" t="str">
        <f t="shared" si="9"/>
        <v>High Discount</v>
      </c>
      <c r="K101" t="str">
        <f t="shared" si="8"/>
        <v>Medium</v>
      </c>
    </row>
    <row r="102" spans="1:11" x14ac:dyDescent="0.25">
      <c r="A102" s="12" t="s">
        <v>292</v>
      </c>
      <c r="B102" s="12">
        <v>1080</v>
      </c>
      <c r="C102" s="12">
        <v>1874</v>
      </c>
      <c r="D102" s="12">
        <v>794</v>
      </c>
      <c r="E102" s="12">
        <v>0.42</v>
      </c>
      <c r="F102" s="12"/>
      <c r="G102" s="12" t="s">
        <v>323</v>
      </c>
      <c r="H102" s="12" t="str">
        <f t="shared" si="7"/>
        <v>No reviews</v>
      </c>
      <c r="I102" s="12" t="str">
        <f t="shared" si="5"/>
        <v>Not Rated</v>
      </c>
      <c r="J102" s="13" t="str">
        <f t="shared" si="9"/>
        <v>High Discount</v>
      </c>
      <c r="K102" t="str">
        <f t="shared" si="8"/>
        <v>Medium</v>
      </c>
    </row>
    <row r="103" spans="1:11" x14ac:dyDescent="0.25">
      <c r="A103" s="14" t="s">
        <v>295</v>
      </c>
      <c r="B103" s="14">
        <v>3640</v>
      </c>
      <c r="C103" s="14">
        <v>4588</v>
      </c>
      <c r="D103" s="14">
        <v>948</v>
      </c>
      <c r="E103" s="14">
        <v>0.21</v>
      </c>
      <c r="F103" s="14">
        <v>1</v>
      </c>
      <c r="G103" s="14">
        <v>5</v>
      </c>
      <c r="H103" s="12" t="str">
        <f t="shared" si="7"/>
        <v>Low</v>
      </c>
      <c r="I103" s="12" t="str">
        <f t="shared" si="5"/>
        <v>Excellent</v>
      </c>
      <c r="J103" s="13" t="str">
        <f t="shared" si="9"/>
        <v>Medium Discount</v>
      </c>
      <c r="K103" t="str">
        <f t="shared" si="8"/>
        <v>Premium</v>
      </c>
    </row>
    <row r="104" spans="1:11" x14ac:dyDescent="0.25">
      <c r="A104" s="12" t="s">
        <v>298</v>
      </c>
      <c r="B104" s="12">
        <v>1420</v>
      </c>
      <c r="C104" s="12">
        <v>2420</v>
      </c>
      <c r="D104" s="12">
        <v>1000</v>
      </c>
      <c r="E104" s="12">
        <v>0.41</v>
      </c>
      <c r="F104" s="12"/>
      <c r="G104" s="12" t="s">
        <v>323</v>
      </c>
      <c r="H104" s="12" t="str">
        <f t="shared" si="7"/>
        <v>No reviews</v>
      </c>
      <c r="I104" s="12" t="str">
        <f t="shared" si="5"/>
        <v>Not Rated</v>
      </c>
      <c r="J104" s="13" t="str">
        <f t="shared" si="9"/>
        <v>High Discount</v>
      </c>
      <c r="K104" t="str">
        <f t="shared" si="8"/>
        <v>Medium</v>
      </c>
    </row>
    <row r="105" spans="1:11" x14ac:dyDescent="0.25">
      <c r="A105" s="14" t="s">
        <v>301</v>
      </c>
      <c r="B105" s="14">
        <v>1875</v>
      </c>
      <c r="C105" s="14">
        <v>1899</v>
      </c>
      <c r="D105" s="14">
        <v>24</v>
      </c>
      <c r="E105" s="14">
        <v>0.01</v>
      </c>
      <c r="F105" s="14"/>
      <c r="G105" s="14" t="s">
        <v>323</v>
      </c>
      <c r="H105" s="12" t="str">
        <f t="shared" si="7"/>
        <v>No reviews</v>
      </c>
      <c r="I105" s="12" t="str">
        <f t="shared" si="5"/>
        <v>Not Rated</v>
      </c>
      <c r="J105" s="13" t="str">
        <f t="shared" si="9"/>
        <v>Low Discount</v>
      </c>
      <c r="K105" t="str">
        <f t="shared" si="8"/>
        <v>High</v>
      </c>
    </row>
    <row r="106" spans="1:11" x14ac:dyDescent="0.25">
      <c r="A106" s="12" t="s">
        <v>304</v>
      </c>
      <c r="B106" s="12">
        <v>198</v>
      </c>
      <c r="C106" s="12">
        <v>260</v>
      </c>
      <c r="D106" s="12">
        <v>62</v>
      </c>
      <c r="E106" s="12">
        <v>0.24</v>
      </c>
      <c r="F106" s="12"/>
      <c r="G106" s="12" t="s">
        <v>323</v>
      </c>
      <c r="H106" s="12" t="str">
        <f t="shared" si="7"/>
        <v>No reviews</v>
      </c>
      <c r="I106" s="12" t="str">
        <f t="shared" si="5"/>
        <v>Not Rated</v>
      </c>
      <c r="J106" s="13" t="str">
        <f t="shared" si="9"/>
        <v>Medium Discount</v>
      </c>
      <c r="K106" t="str">
        <f t="shared" si="8"/>
        <v>Low</v>
      </c>
    </row>
    <row r="107" spans="1:11" x14ac:dyDescent="0.25">
      <c r="A107" s="14" t="s">
        <v>307</v>
      </c>
      <c r="B107" s="14">
        <v>1150</v>
      </c>
      <c r="C107" s="14">
        <v>1737</v>
      </c>
      <c r="D107" s="14">
        <v>587</v>
      </c>
      <c r="E107" s="14">
        <v>0.34</v>
      </c>
      <c r="F107" s="14"/>
      <c r="G107" s="14" t="s">
        <v>323</v>
      </c>
      <c r="H107" s="12" t="str">
        <f t="shared" si="7"/>
        <v>No reviews</v>
      </c>
      <c r="I107" s="12" t="str">
        <f t="shared" si="5"/>
        <v>Not Rated</v>
      </c>
      <c r="J107" s="13" t="str">
        <f t="shared" si="9"/>
        <v>Medium Discount</v>
      </c>
      <c r="K107" t="str">
        <f t="shared" si="8"/>
        <v>Medium</v>
      </c>
    </row>
    <row r="108" spans="1:11" x14ac:dyDescent="0.25">
      <c r="A108" s="12" t="s">
        <v>310</v>
      </c>
      <c r="B108" s="12">
        <v>1190</v>
      </c>
      <c r="C108" s="12">
        <v>1810</v>
      </c>
      <c r="D108" s="12">
        <v>620</v>
      </c>
      <c r="E108" s="12">
        <v>0.34</v>
      </c>
      <c r="F108" s="12"/>
      <c r="G108" s="12" t="s">
        <v>323</v>
      </c>
      <c r="H108" s="12" t="str">
        <f t="shared" si="7"/>
        <v>No reviews</v>
      </c>
      <c r="I108" s="12" t="str">
        <f t="shared" si="5"/>
        <v>Not Rated</v>
      </c>
      <c r="J108" s="13" t="str">
        <f t="shared" si="9"/>
        <v>Medium Discount</v>
      </c>
      <c r="K108" t="str">
        <f t="shared" si="8"/>
        <v>Medium</v>
      </c>
    </row>
    <row r="109" spans="1:11" x14ac:dyDescent="0.25">
      <c r="A109" s="14" t="s">
        <v>312</v>
      </c>
      <c r="B109" s="14">
        <v>1658</v>
      </c>
      <c r="C109" s="14">
        <v>1699</v>
      </c>
      <c r="D109" s="14">
        <v>41</v>
      </c>
      <c r="E109" s="14">
        <v>0.02</v>
      </c>
      <c r="F109" s="14"/>
      <c r="G109" s="14" t="s">
        <v>323</v>
      </c>
      <c r="H109" s="12" t="str">
        <f t="shared" si="7"/>
        <v>No reviews</v>
      </c>
      <c r="I109" s="12" t="str">
        <f t="shared" si="5"/>
        <v>Not Rated</v>
      </c>
      <c r="J109" s="13" t="str">
        <f t="shared" si="9"/>
        <v>Low Discount</v>
      </c>
      <c r="K109" t="str">
        <f t="shared" si="8"/>
        <v>High</v>
      </c>
    </row>
    <row r="110" spans="1:11" x14ac:dyDescent="0.25">
      <c r="A110" s="12" t="s">
        <v>314</v>
      </c>
      <c r="B110" s="12">
        <v>1768</v>
      </c>
      <c r="C110" s="12">
        <v>1799</v>
      </c>
      <c r="D110" s="12">
        <v>31</v>
      </c>
      <c r="E110" s="12">
        <v>0.02</v>
      </c>
      <c r="F110" s="12"/>
      <c r="G110" s="12" t="s">
        <v>323</v>
      </c>
      <c r="H110" s="12" t="str">
        <f t="shared" si="7"/>
        <v>No reviews</v>
      </c>
      <c r="I110" s="12" t="str">
        <f t="shared" si="5"/>
        <v>Not Rated</v>
      </c>
      <c r="J110" s="13" t="str">
        <f t="shared" si="9"/>
        <v>Low Discount</v>
      </c>
      <c r="K110" t="str">
        <f t="shared" si="8"/>
        <v>High</v>
      </c>
    </row>
    <row r="111" spans="1:11" x14ac:dyDescent="0.25">
      <c r="A111" s="14" t="s">
        <v>316</v>
      </c>
      <c r="B111" s="14">
        <v>199</v>
      </c>
      <c r="C111" s="14">
        <v>553</v>
      </c>
      <c r="D111" s="14">
        <v>354</v>
      </c>
      <c r="E111" s="14">
        <v>0.64</v>
      </c>
      <c r="F111" s="14"/>
      <c r="G111" s="14" t="s">
        <v>323</v>
      </c>
      <c r="H111" s="12" t="str">
        <f t="shared" si="7"/>
        <v>No reviews</v>
      </c>
      <c r="I111" s="12" t="str">
        <f t="shared" si="5"/>
        <v>Not Rated</v>
      </c>
      <c r="J111" s="13" t="str">
        <f t="shared" si="9"/>
        <v>High Discount</v>
      </c>
      <c r="K111" t="str">
        <f t="shared" si="8"/>
        <v>Low</v>
      </c>
    </row>
    <row r="112" spans="1:11" x14ac:dyDescent="0.25">
      <c r="A112" s="12" t="s">
        <v>318</v>
      </c>
      <c r="B112" s="12">
        <v>450</v>
      </c>
      <c r="C112" s="12">
        <v>900</v>
      </c>
      <c r="D112" s="12">
        <v>450</v>
      </c>
      <c r="E112" s="12">
        <v>0.5</v>
      </c>
      <c r="F112" s="12">
        <v>1</v>
      </c>
      <c r="G112" s="12">
        <v>2</v>
      </c>
      <c r="H112" s="12" t="str">
        <f t="shared" si="7"/>
        <v>Low</v>
      </c>
      <c r="I112" s="12" t="str">
        <f t="shared" si="5"/>
        <v>Poor</v>
      </c>
      <c r="J112" s="13" t="str">
        <f t="shared" si="9"/>
        <v>High Discount</v>
      </c>
      <c r="K112" t="str">
        <f t="shared" si="8"/>
        <v>Low</v>
      </c>
    </row>
    <row r="113" spans="1:11" x14ac:dyDescent="0.25">
      <c r="A113" s="9" t="s">
        <v>320</v>
      </c>
      <c r="B113" s="9">
        <v>169</v>
      </c>
      <c r="C113" s="9">
        <v>320</v>
      </c>
      <c r="D113" s="9">
        <v>151</v>
      </c>
      <c r="E113" s="9">
        <v>0.47</v>
      </c>
      <c r="F113" s="9"/>
      <c r="G113" s="9" t="s">
        <v>323</v>
      </c>
      <c r="H113" s="12" t="str">
        <f t="shared" si="7"/>
        <v>No reviews</v>
      </c>
      <c r="I113" s="12" t="str">
        <f t="shared" si="5"/>
        <v>Not Rated</v>
      </c>
      <c r="J113" s="13" t="str">
        <f t="shared" si="9"/>
        <v>High Discount</v>
      </c>
      <c r="K113" t="str">
        <f t="shared" si="8"/>
        <v>Low</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628C-F997-4B3E-9618-5FF6745B5122}">
  <dimension ref="A1:C95"/>
  <sheetViews>
    <sheetView workbookViewId="0">
      <selection activeCell="B13" sqref="B13"/>
    </sheetView>
  </sheetViews>
  <sheetFormatPr defaultRowHeight="15" x14ac:dyDescent="0.25"/>
  <cols>
    <col min="1" max="1" width="59.140625" bestFit="1" customWidth="1"/>
  </cols>
  <sheetData>
    <row r="1" spans="1:2" ht="16.5" x14ac:dyDescent="0.25">
      <c r="A1" s="2" t="s">
        <v>330</v>
      </c>
    </row>
    <row r="2" spans="1:2" ht="18.75" x14ac:dyDescent="0.3">
      <c r="A2" s="4" t="s">
        <v>347</v>
      </c>
      <c r="B2">
        <f>QUARTILE(Cleaned_data!B2:B113,1)</f>
        <v>500.5</v>
      </c>
    </row>
    <row r="3" spans="1:2" x14ac:dyDescent="0.25">
      <c r="A3" s="3" t="s">
        <v>348</v>
      </c>
      <c r="B3">
        <f>QUARTILE(Cleaned_data!B2:B113,3)</f>
        <v>1693</v>
      </c>
    </row>
    <row r="6" spans="1:2" ht="16.5" x14ac:dyDescent="0.25">
      <c r="A6" s="2" t="s">
        <v>331</v>
      </c>
    </row>
    <row r="7" spans="1:2" ht="15.75" x14ac:dyDescent="0.25">
      <c r="A7" s="5" t="s">
        <v>332</v>
      </c>
      <c r="B7">
        <f>COUNTA(Cleaned_data!B2:B113)</f>
        <v>112</v>
      </c>
    </row>
    <row r="8" spans="1:2" ht="15.75" x14ac:dyDescent="0.25">
      <c r="A8" s="5" t="s">
        <v>333</v>
      </c>
      <c r="B8">
        <f>AVERAGE(Cleaned_data!B2:B113)</f>
        <v>1201.4375</v>
      </c>
    </row>
    <row r="9" spans="1:2" ht="15.75" x14ac:dyDescent="0.25">
      <c r="A9" s="5" t="s">
        <v>334</v>
      </c>
      <c r="B9">
        <f>AVERAGE(Cleaned_data!C2:C113)</f>
        <v>1811.1071428571429</v>
      </c>
    </row>
    <row r="10" spans="1:2" ht="15.75" x14ac:dyDescent="0.25">
      <c r="A10" s="5" t="s">
        <v>349</v>
      </c>
      <c r="B10">
        <f>AVERAGE(Cleaned_data!D2:D1113)</f>
        <v>609.66964285714289</v>
      </c>
    </row>
    <row r="11" spans="1:2" ht="15.75" x14ac:dyDescent="0.25">
      <c r="A11" s="5" t="s">
        <v>335</v>
      </c>
      <c r="B11">
        <f>AVERAGE(Cleaned_data!E2:E113)</f>
        <v>0.36776785714285715</v>
      </c>
    </row>
    <row r="12" spans="1:2" ht="15.75" x14ac:dyDescent="0.25">
      <c r="A12" s="5" t="s">
        <v>336</v>
      </c>
      <c r="B12">
        <f>AVERAGE(Cleaned_data!G2:G113)</f>
        <v>3.8894736842105258</v>
      </c>
    </row>
    <row r="13" spans="1:2" ht="15.75" x14ac:dyDescent="0.25">
      <c r="A13" s="5" t="s">
        <v>350</v>
      </c>
      <c r="B13">
        <f>SUM(Cleaned_data!F2:F113)</f>
        <v>723</v>
      </c>
    </row>
    <row r="14" spans="1:2" ht="15.75" x14ac:dyDescent="0.25">
      <c r="A14" s="5" t="s">
        <v>351</v>
      </c>
      <c r="B14">
        <f>MAX(Cleaned_data!B2:B113)</f>
        <v>3750</v>
      </c>
    </row>
    <row r="15" spans="1:2" ht="15.75" x14ac:dyDescent="0.25">
      <c r="A15" s="5" t="s">
        <v>352</v>
      </c>
      <c r="B15" t="str">
        <f>INDEX(Cleaned_data!A2:A113,MATCH(MAX(Cleaned_data!B2:B113),Cleaned_data!B2:B113,0))</f>
        <v>32PCS Portable Cordless Drill Set With Cyclic Battery Drive -26 Variable Speed</v>
      </c>
    </row>
    <row r="16" spans="1:2" ht="15.75" x14ac:dyDescent="0.25">
      <c r="A16" s="5" t="s">
        <v>353</v>
      </c>
      <c r="B16">
        <f>MIN(Cleaned_data!B2:B113)</f>
        <v>38</v>
      </c>
    </row>
    <row r="17" spans="1:2" ht="15.75" x14ac:dyDescent="0.25">
      <c r="A17" s="5" t="s">
        <v>354</v>
      </c>
      <c r="B17" t="str">
        <f>INDEX(Cleaned_data!A2:A113,MATCH(MIN(Cleaned_data!B2:B113),Cleaned_data!B2:B113,0))</f>
        <v>3PCS Single Head Knitting Crochet Sweater Needle Set</v>
      </c>
    </row>
    <row r="18" spans="1:2" x14ac:dyDescent="0.25">
      <c r="A18" s="21" t="s">
        <v>373</v>
      </c>
      <c r="B18">
        <f>AVERAGE(Cleaned_data!E2:E113)</f>
        <v>0.36776785714285715</v>
      </c>
    </row>
    <row r="19" spans="1:2" ht="21" x14ac:dyDescent="0.35">
      <c r="A19" s="6" t="s">
        <v>337</v>
      </c>
    </row>
    <row r="20" spans="1:2" ht="15.75" x14ac:dyDescent="0.25">
      <c r="A20" s="5" t="s">
        <v>338</v>
      </c>
      <c r="B20">
        <f>CORREL(Cleaned_data!E2:E113,Cleaned_data!F2:F113)</f>
        <v>-0.13682272428088296</v>
      </c>
    </row>
    <row r="21" spans="1:2" ht="15.75" x14ac:dyDescent="0.25">
      <c r="A21" s="5" t="s">
        <v>339</v>
      </c>
      <c r="B21">
        <f>CORREL(Cleaned_data!G2:G113,Cleaned_data!F2:F113)</f>
        <v>5.7209035119876482E-2</v>
      </c>
    </row>
    <row r="22" spans="1:2" ht="15.75" x14ac:dyDescent="0.25">
      <c r="A22" s="5" t="s">
        <v>340</v>
      </c>
      <c r="B22">
        <f>CORREL(Cleaned_data!B2:B113,Cleaned_data!G2:G113)</f>
        <v>0.14959836649268354</v>
      </c>
    </row>
    <row r="24" spans="1:2" ht="18.75" x14ac:dyDescent="0.3">
      <c r="A24" s="7" t="s">
        <v>341</v>
      </c>
    </row>
    <row r="25" spans="1:2" ht="15.75" x14ac:dyDescent="0.25">
      <c r="A25" s="5" t="s">
        <v>342</v>
      </c>
    </row>
    <row r="26" spans="1:2" x14ac:dyDescent="0.25">
      <c r="A26" t="str" cm="1">
        <f t="array" ref="A26:A30">INDEX(_xlfn.SORTBY(Cleaned_data!A2:A113, Cleaned_data!G2:G113, -1, Cleaned_data!F2:F113, -1), _xlfn.SEQUENCE(5))</f>
        <v>4pcs Bathroom/Kitchen Towel Rack,Roll Paper Holder,Towel Bars,Hook</v>
      </c>
    </row>
    <row r="27" spans="1:2" x14ac:dyDescent="0.25">
      <c r="A27" t="str">
        <v>MultiFunctional Storage Rack Multi-layer Bookshelf</v>
      </c>
    </row>
    <row r="28" spans="1:2" x14ac:dyDescent="0.25">
      <c r="A28" t="str">
        <v>LASA Stainless Steel Double Wall Mount Soap Dispenser - 500ml</v>
      </c>
    </row>
    <row r="29" spans="1:2" x14ac:dyDescent="0.25">
      <c r="A29" t="str">
        <v>4M Float Switch Water Level Controller -Water Tank</v>
      </c>
    </row>
    <row r="30" spans="1:2" x14ac:dyDescent="0.25">
      <c r="A30" t="str">
        <v>Modern Sofa Throw Pillow Cover-45x45cm-Blue&amp;Red</v>
      </c>
    </row>
    <row r="32" spans="1:2" ht="15.75" x14ac:dyDescent="0.25">
      <c r="A32" s="5" t="s">
        <v>355</v>
      </c>
    </row>
    <row r="33" spans="1:1" x14ac:dyDescent="0.25">
      <c r="A33" t="str" cm="1">
        <f t="array" ref="A33:A37">INDEX(_xlfn.SORTBY(Cleaned_data!A2:A113, Cleaned_data!G2:G113, 1, Cleaned_data!F2:F113, -1), _xlfn.SEQUENCE(5))</f>
        <v>Wall-mounted Sticker Punch-free Plug Fixer</v>
      </c>
    </row>
    <row r="34" spans="1:1" x14ac:dyDescent="0.25">
      <c r="A34" t="str">
        <v>5-PCS Stainless Steel Cooking Pot Set With Steamed Slices</v>
      </c>
    </row>
    <row r="35" spans="1:1" x14ac:dyDescent="0.25">
      <c r="A35" t="str">
        <v>Electric LED UV Mosquito Killer Lamp, Outdoor/Indoor Fly Killer Trap Light -USB</v>
      </c>
    </row>
    <row r="36" spans="1:1" x14ac:dyDescent="0.25">
      <c r="A36" t="str">
        <v>Artificial Potted Flowers Room Decorative Flowers (2 Pieces)</v>
      </c>
    </row>
    <row r="37" spans="1:1" x14ac:dyDescent="0.25">
      <c r="A37" t="str">
        <v>7-piece Set Of Storage Bags, Travel Storage Bags, Shoe Bags</v>
      </c>
    </row>
    <row r="39" spans="1:1" ht="15.75" x14ac:dyDescent="0.25">
      <c r="A39" s="8" t="s">
        <v>343</v>
      </c>
    </row>
    <row r="40" spans="1:1" x14ac:dyDescent="0.25">
      <c r="A40" t="str" cm="1">
        <f t="array" ref="A40:A49">INDEX(_xlfn.SORTBY(Cleaned_data!A2:A113, Cleaned_data!E2:E113, -1), _xlfn.SEQUENCE(10))</f>
        <v>6 In 1 Bottle Can Opener Multifunctional Easy Opener</v>
      </c>
    </row>
    <row r="41" spans="1:1" x14ac:dyDescent="0.25">
      <c r="A41" t="str">
        <v>Creative Owl Shape Keychain Black</v>
      </c>
    </row>
    <row r="42" spans="1:1" x14ac:dyDescent="0.25">
      <c r="A42" t="str">
        <v>LASA FOLDING TABLE SERVING STAND</v>
      </c>
    </row>
    <row r="43" spans="1:1" x14ac:dyDescent="0.25">
      <c r="A43" t="str">
        <v>Simple Metal Dog Art Sculpture Decoration For Home Office</v>
      </c>
    </row>
    <row r="44" spans="1:1" x14ac:dyDescent="0.25">
      <c r="A44" t="str">
        <v>5-PCS Stainless Steel Cooking Pot Set With Steamed Slices</v>
      </c>
    </row>
    <row r="45" spans="1:1" x14ac:dyDescent="0.25">
      <c r="A45" t="str">
        <v>LASA 3 Tier Bamboo Shoe Bench Storage Shelf</v>
      </c>
    </row>
    <row r="46" spans="1:1" x14ac:dyDescent="0.25">
      <c r="A46" t="str">
        <v>Mythco 120COB Solar Wall Ligt With Motion Sensor And Remote Control 3 Modes</v>
      </c>
    </row>
    <row r="47" spans="1:1" x14ac:dyDescent="0.25">
      <c r="A47" t="str">
        <v>3PCS Single Head Knitting Crochet Sweater Needle Set</v>
      </c>
    </row>
    <row r="48" spans="1:1" x14ac:dyDescent="0.25">
      <c r="A48" t="str">
        <v>Classic Black Cat Cotton Hemp Pillow Case For Home Car</v>
      </c>
    </row>
    <row r="49" spans="1:1" x14ac:dyDescent="0.25">
      <c r="A49" t="str">
        <v>Exfoliate And Exfoliate Face Towel - Black</v>
      </c>
    </row>
    <row r="51" spans="1:1" ht="15.75" x14ac:dyDescent="0.25">
      <c r="A51" s="5" t="s">
        <v>344</v>
      </c>
    </row>
    <row r="52" spans="1:1" x14ac:dyDescent="0.25">
      <c r="A52" t="str" cm="1">
        <f t="array" ref="A52:A61">INDEX(_xlfn.SORTBY(Cleaned_data!A2:A113, Cleaned_data!F2:F113, -1), _xlfn.SEQUENCE(10))</f>
        <v>120W Cordless Vacuum Cleaners Handheld Electric Vacuum Cleaner</v>
      </c>
    </row>
    <row r="53" spans="1:1" x14ac:dyDescent="0.25">
      <c r="A53" t="str">
        <v>137 Pieces Cake Decorating Tool Set Baking Supplies</v>
      </c>
    </row>
    <row r="54" spans="1:1" x14ac:dyDescent="0.25">
      <c r="A54" t="str">
        <v>Electronic Digital Display Vernier Caliper</v>
      </c>
    </row>
    <row r="55" spans="1:1" x14ac:dyDescent="0.25">
      <c r="A55" t="str">
        <v>3D Waterproof EVA Plastic Shower Curtain 1.8*2Mtrs</v>
      </c>
    </row>
    <row r="56" spans="1:1" x14ac:dyDescent="0.25">
      <c r="A56" t="str">
        <v>100 Pcs Crochet Hook Tool Set Knitting Hook Set With Box</v>
      </c>
    </row>
    <row r="57" spans="1:1" x14ac:dyDescent="0.25">
      <c r="A57" t="str">
        <v>Punch-free Great Load Bearing Bathroom Storage Rack Wall Shelf-White</v>
      </c>
    </row>
    <row r="58" spans="1:1" x14ac:dyDescent="0.25">
      <c r="A58" t="str">
        <v>53 Pieces/Set Yarn Knitting Crochet Hooks With Bag - Pansies</v>
      </c>
    </row>
    <row r="59" spans="1:1" x14ac:dyDescent="0.25">
      <c r="A59" t="str">
        <v>Portable Mini Cordless Car Vacuum Cleaner - Blue</v>
      </c>
    </row>
    <row r="60" spans="1:1" x14ac:dyDescent="0.25">
      <c r="A60" t="str">
        <v>52 Pieces Cake Decorating Tool Set Gift Kit Baking Supplies</v>
      </c>
    </row>
    <row r="61" spans="1:1" x14ac:dyDescent="0.25">
      <c r="A61" t="str">
        <v>53Pcs/Set Yarn Knitting Crochet Hooks With Bag - Fortune Cat</v>
      </c>
    </row>
    <row r="63" spans="1:1" ht="15.75" x14ac:dyDescent="0.25">
      <c r="A63" s="5" t="s">
        <v>345</v>
      </c>
    </row>
    <row r="64" spans="1:1" x14ac:dyDescent="0.25">
      <c r="A64" t="str" cm="1">
        <f t="array" ref="A64:A73">_xlfn._xlws.FILTER(Cleaned_data!A2:A113, (Cleaned_data!E2:E113&gt;0.4)*(Cleaned_data!G2:G113&lt;3))</f>
        <v>5-PCS Stainless Steel Cooking Pot Set With Steamed Slices</v>
      </c>
    </row>
    <row r="65" spans="1:3" x14ac:dyDescent="0.25">
      <c r="A65" t="str">
        <v>120W Cordless Vacuum Cleaners Handheld Electric Vacuum Cleaner</v>
      </c>
    </row>
    <row r="66" spans="1:3" x14ac:dyDescent="0.25">
      <c r="A66" t="str">
        <v>Intelligent  LED Body Sensor Wireless Lighting Night Light USB</v>
      </c>
    </row>
    <row r="67" spans="1:3" x14ac:dyDescent="0.25">
      <c r="A67" t="str">
        <v>Artificial Potted Flowers Room Decorative Flowers (2 Pieces)</v>
      </c>
    </row>
    <row r="68" spans="1:3" x14ac:dyDescent="0.25">
      <c r="A68" t="str">
        <v>380ML USB Rechargeable Portable Small Blenders And Juicers</v>
      </c>
    </row>
    <row r="69" spans="1:3" x14ac:dyDescent="0.25">
      <c r="A69" t="str">
        <v>Agapeon Toothbrush Holder And Toothpaste Dispenser</v>
      </c>
    </row>
    <row r="70" spans="1:3" x14ac:dyDescent="0.25">
      <c r="A70" t="str">
        <v>Watercolour Gold Foil Textured Print Pillow Cover</v>
      </c>
    </row>
    <row r="71" spans="1:3" x14ac:dyDescent="0.25">
      <c r="A71" t="str">
        <v>7-piece Set Of Storage Bags, Travel Storage Bags, Shoe Bags</v>
      </c>
    </row>
    <row r="72" spans="1:3" x14ac:dyDescent="0.25">
      <c r="A72" t="str">
        <v>Electric LED UV Mosquito Killer Lamp, Outdoor/Indoor Fly Killer Trap Light -USB</v>
      </c>
    </row>
    <row r="73" spans="1:3" x14ac:dyDescent="0.25">
      <c r="A73" t="str">
        <v>Wall-mounted Sticker Punch-free Plug Fixer</v>
      </c>
    </row>
    <row r="75" spans="1:3" x14ac:dyDescent="0.25">
      <c r="A75" s="3" t="s">
        <v>346</v>
      </c>
    </row>
    <row r="76" spans="1:3" x14ac:dyDescent="0.25">
      <c r="A76">
        <f>_xlfn.PERCENTILE.INC(Cleaned_data!F2:F113, 0.75)</f>
        <v>14</v>
      </c>
    </row>
    <row r="78" spans="1:3" ht="15.75" x14ac:dyDescent="0.25">
      <c r="A78" s="5" t="s">
        <v>356</v>
      </c>
    </row>
    <row r="80" spans="1:3" x14ac:dyDescent="0.25">
      <c r="A80" t="str" cm="1">
        <f t="array" ref="A80:C95">_xlfn._xlws.FILTER(CHOOSE({1,2,3},Cleaned_data!A2:A113,Cleaned_data!F2:F113,Cleaned_data!G2:G113),Cleaned_data!F2:F113&gt;=_xlfn.PERCENTILE.INC(Cleaned_data!F2:F113,0.75))</f>
        <v>Metal Decorative Hooks Key Hangers Entryway Wall Hooks Towel Hooks - Home</v>
      </c>
      <c r="B80">
        <v>14</v>
      </c>
      <c r="C80">
        <v>4.0999999999999996</v>
      </c>
    </row>
    <row r="81" spans="1:3" x14ac:dyDescent="0.25">
      <c r="A81" t="str">
        <v>Portable Mini Cordless Car Vacuum Cleaner - Blue</v>
      </c>
      <c r="B81">
        <v>24</v>
      </c>
      <c r="C81">
        <v>4.5999999999999996</v>
      </c>
    </row>
    <row r="82" spans="1:3" x14ac:dyDescent="0.25">
      <c r="A82" t="str">
        <v>220V 60W Electric Soldering Iron Kits With Tools, Tips, And Multimeter</v>
      </c>
      <c r="B82">
        <v>15</v>
      </c>
      <c r="C82">
        <v>4</v>
      </c>
    </row>
    <row r="83" spans="1:3" x14ac:dyDescent="0.25">
      <c r="A83" t="str">
        <v>137 Pieces Cake Decorating Tool Set Baking Supplies</v>
      </c>
      <c r="B83">
        <v>55</v>
      </c>
      <c r="C83">
        <v>4.5999999999999996</v>
      </c>
    </row>
    <row r="84" spans="1:3" x14ac:dyDescent="0.25">
      <c r="A84" t="str">
        <v>100 Pcs Crochet Hook Tool Set Knitting Hook Set With Box</v>
      </c>
      <c r="B84">
        <v>39</v>
      </c>
      <c r="C84">
        <v>4.7</v>
      </c>
    </row>
    <row r="85" spans="1:3" x14ac:dyDescent="0.25">
      <c r="A85" t="str">
        <v>3D Waterproof EVA Plastic Shower Curtain 1.8*2Mtrs</v>
      </c>
      <c r="B85">
        <v>44</v>
      </c>
      <c r="C85">
        <v>4.5999999999999996</v>
      </c>
    </row>
    <row r="86" spans="1:3" x14ac:dyDescent="0.25">
      <c r="A86" t="str">
        <v>Foldable Overbed Table/Desk</v>
      </c>
      <c r="B86">
        <v>14</v>
      </c>
      <c r="C86">
        <v>4.4000000000000004</v>
      </c>
    </row>
    <row r="87" spans="1:3" x14ac:dyDescent="0.25">
      <c r="A87" t="str">
        <v>Electronic Digital Display Vernier Caliper</v>
      </c>
      <c r="B87">
        <v>49</v>
      </c>
      <c r="C87">
        <v>4.5999999999999996</v>
      </c>
    </row>
    <row r="88" spans="1:3" x14ac:dyDescent="0.25">
      <c r="A88" t="str">
        <v>52 Pieces Cake Decorating Tool Set Gift Kit Baking Supplies</v>
      </c>
      <c r="B88">
        <v>20</v>
      </c>
      <c r="C88">
        <v>4.0999999999999996</v>
      </c>
    </row>
    <row r="89" spans="1:3" x14ac:dyDescent="0.25">
      <c r="A89" t="str">
        <v>53Pcs/Set Yarn Knitting Crochet Hooks With Bag - Fortune Cat</v>
      </c>
      <c r="B89">
        <v>20</v>
      </c>
      <c r="C89">
        <v>4.7</v>
      </c>
    </row>
    <row r="90" spans="1:3" x14ac:dyDescent="0.25">
      <c r="A90" t="str">
        <v>53 Pieces/Set Yarn Knitting Crochet Hooks With Bag - Pansies</v>
      </c>
      <c r="B90">
        <v>32</v>
      </c>
      <c r="C90">
        <v>4.5</v>
      </c>
    </row>
    <row r="91" spans="1:3" x14ac:dyDescent="0.25">
      <c r="A91" t="str">
        <v>Punch-free Great Load Bearing Bathroom Storage Rack Wall Shelf-White</v>
      </c>
      <c r="B91">
        <v>36</v>
      </c>
      <c r="C91">
        <v>4.3</v>
      </c>
    </row>
    <row r="92" spans="1:3" x14ac:dyDescent="0.25">
      <c r="A92" t="str">
        <v>120W Cordless Vacuum Cleaners Handheld Electric Vacuum Cleaner</v>
      </c>
      <c r="B92">
        <v>69</v>
      </c>
      <c r="C92">
        <v>2.8</v>
      </c>
    </row>
    <row r="93" spans="1:3" x14ac:dyDescent="0.25">
      <c r="A93" t="str">
        <v>Intelligent  LED Body Sensor Wireless Lighting Night Light USB</v>
      </c>
      <c r="B93">
        <v>15</v>
      </c>
      <c r="C93">
        <v>2.7</v>
      </c>
    </row>
    <row r="94" spans="1:3" x14ac:dyDescent="0.25">
      <c r="A94" t="str">
        <v>VIC Wireless Vacuum Cleaner Dual Use For Home And Car 120W High Power Powerful</v>
      </c>
      <c r="B94">
        <v>16</v>
      </c>
      <c r="C94">
        <v>2.9</v>
      </c>
    </row>
    <row r="95" spans="1:3" x14ac:dyDescent="0.25">
      <c r="A95" t="str">
        <v>Agapeon Toothbrush Holder And Toothpaste Dispenser</v>
      </c>
      <c r="B95">
        <v>17</v>
      </c>
      <c r="C95">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Raw_data</vt:lpstr>
      <vt:lpstr>Top_Rating</vt:lpstr>
      <vt:lpstr>Top_Reviews</vt:lpstr>
      <vt:lpstr>Top_Discount</vt:lpstr>
      <vt:lpstr>Discount_vs_Reviews</vt:lpstr>
      <vt:lpstr>Rating_vs_Reviews</vt:lpstr>
      <vt:lpstr>Price_vs_Rating</vt:lpstr>
      <vt:lpstr>Rating_category</vt:lpstr>
      <vt:lpstr>Discount_Category</vt:lpstr>
      <vt:lpstr>Cleaned_data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_kim.Mark</dc:creator>
  <cp:lastModifiedBy>BONYMARK Kimutai</cp:lastModifiedBy>
  <dcterms:created xsi:type="dcterms:W3CDTF">2026-09-04T14:07:12Z</dcterms:created>
  <dcterms:modified xsi:type="dcterms:W3CDTF">2026-09-05T08:10:00Z</dcterms:modified>
</cp:coreProperties>
</file>